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Reconciliation System\June Data Match\June Data Match\All Sites\Aldgate\"/>
    </mc:Choice>
  </mc:AlternateContent>
  <xr:revisionPtr revIDLastSave="0" documentId="13_ncr:1_{DE273A7B-2EC6-439B-B6BD-4C199A7F39EB}" xr6:coauthVersionLast="47" xr6:coauthVersionMax="47" xr10:uidLastSave="{00000000-0000-0000-0000-000000000000}"/>
  <bookViews>
    <workbookView xWindow="-120" yWindow="-120" windowWidth="20730" windowHeight="11040" xr2:uid="{203548C6-B852-4610-9987-847F80C94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5" i="1" l="1"/>
  <c r="AH5" i="1"/>
  <c r="AI5" i="1" s="1"/>
  <c r="AJ5" i="1" s="1"/>
  <c r="AG2" i="1"/>
</calcChain>
</file>

<file path=xl/sharedStrings.xml><?xml version="1.0" encoding="utf-8"?>
<sst xmlns="http://schemas.openxmlformats.org/spreadsheetml/2006/main" count="3417" uniqueCount="458">
  <si>
    <t>Account name</t>
  </si>
  <si>
    <t>Account number</t>
  </si>
  <si>
    <t>Bank name</t>
  </si>
  <si>
    <t>Currency</t>
  </si>
  <si>
    <t>Location</t>
  </si>
  <si>
    <t>BIC</t>
  </si>
  <si>
    <t>IBAN</t>
  </si>
  <si>
    <t>Account status</t>
  </si>
  <si>
    <t>Account type</t>
  </si>
  <si>
    <t>Closing ledger balance</t>
  </si>
  <si>
    <t>Closing ledger brought forward from</t>
  </si>
  <si>
    <t>Closing available balance</t>
  </si>
  <si>
    <t>Closing available brought forward from</t>
  </si>
  <si>
    <t>Current ledger balance</t>
  </si>
  <si>
    <t>Current ledger as at</t>
  </si>
  <si>
    <t>Current available balance</t>
  </si>
  <si>
    <t>Current available as at</t>
  </si>
  <si>
    <t>Bank reference</t>
  </si>
  <si>
    <t>Narrative</t>
  </si>
  <si>
    <t>Customer reference</t>
  </si>
  <si>
    <t>TRN type</t>
  </si>
  <si>
    <t>Value date</t>
  </si>
  <si>
    <t>Credit amount</t>
  </si>
  <si>
    <t>Debit amount</t>
  </si>
  <si>
    <t>Balance</t>
  </si>
  <si>
    <t>Time</t>
  </si>
  <si>
    <t>Post date</t>
  </si>
  <si>
    <t>Assam Place Limited Partnership</t>
  </si>
  <si>
    <t>401160-91170155</t>
  </si>
  <si>
    <t>HSBC UK Bank PLC</t>
  </si>
  <si>
    <t>GBP</t>
  </si>
  <si>
    <t>United Kingdom</t>
  </si>
  <si>
    <t>HBUKGB4B</t>
  </si>
  <si>
    <t>GB30HBUK40116091170155</t>
  </si>
  <si>
    <t>Active</t>
  </si>
  <si>
    <t>Current account</t>
  </si>
  <si>
    <t>31/07/2025</t>
  </si>
  <si>
    <t>01/08/2025 08:10</t>
  </si>
  <si>
    <t>BX25073049550989004020250731826200000</t>
  </si>
  <si>
    <t>THE RHODES TRUST FP56U44615875019 /EREF/A Kulinska /REMI/A Kulinska Flat 7 6 2 b Room b Building Chapter Al dgate /ROC/A Kulinska /FPID/BX25073049550989004020250731826200000</t>
  </si>
  <si>
    <t>A Kulinska</t>
  </si>
  <si>
    <t>FBP</t>
  </si>
  <si>
    <t>00:00</t>
  </si>
  <si>
    <t>TW00000014353511421020250730826230801</t>
  </si>
  <si>
    <t>Min Kim FP56UA4806550374 /EREF/Ashley Kim 7.6.2-a /ROC/Ashley Kim 7.6.2-a /FPID/TW00000014353511421020250730826230801</t>
  </si>
  <si>
    <t>Ashley Kim 7.6.2-a</t>
  </si>
  <si>
    <t>RBC31075G6JFI98I</t>
  </si>
  <si>
    <t>/REMI//CTO/ REFERENCE: TREMENDOUS LIPSCOMB ROOM 9.5A NWBDM2I8591 1884 /ACC/ASSAM PLACE LIMITED PARTNERSHI/OCMT/GBP10382,16//BENM/G B30HBUK40116091170155 Assam Place Limited Partnership/EXCH/000000 000000//ORDP/MAGNIFICENT N. STOKES 166546742500052 6266 40TH ST C OURT EFIFE WA 98/OBK/BOEING EMPLOYEES CREDIT UNION BECU 12770 G ATEWAY DRIVE TUKWILA UNITED STATES WA 9</t>
  </si>
  <si>
    <t>ADVICE CONFIRMS</t>
  </si>
  <si>
    <t>Tt</t>
  </si>
  <si>
    <t>RBC31075G6JFB7SW</t>
  </si>
  <si>
    <t>/REMI/EDUCATION GIRISH GORADE ROOM NO A 15 04 GBS31075ITJFB41S / INS/ICICINBBNRI/OCMT/GBP2941,72//BENM/91170155 ASSAM PLACE LIMITE D PARTNERSHIP/EXCH/000000000000//ORDP/1/BRIJESH V GORADE 00440154 4672 2/H 502 MONT VERT TROPEZ WAKAD PUNE 2//OBK/ICICINBBNRI ICICI BANK LIMITED FLOOR 2, TRADE WORLD, KAMALA MILLS COMPOUND LOWER</t>
  </si>
  <si>
    <t>RBC31075EAJFLGW1</t>
  </si>
  <si>
    <t>/REMI/EDUCATION PP NO S0747044 UDITANSHI RAJIV KUMAR ID 45608445 PET622816212 /INS/AXISINBBTFC/OCMT/GBP7900,00//BENM/GB30HBUK40116 091170155 Assam Place Limited Partnership/EXCH/000000000000//ORDP /RAJIV KUMAR 003010100048640 34 SHARNAM 7 RAMDEVNAGAR ROADSATELL ITENA/OBK/AXISINBB003 AXIS BANK LIMITED FLOOR GF, SAKAR-1 OFF. A SHRAM RD AHMEDABAD</t>
  </si>
  <si>
    <t>RBC31075KIJEN400</t>
  </si>
  <si>
    <t>/REMI/13.08-A MASENZA 250729181288/OCMT/GBP25,00//BENM/GB30HBUK40 116091170155 Assam Place Limited Partnership/EXCH/000000000000//O RDP/SIMONA SCATTAGLIA CARTAGO IT90Y0326803212052799804030 ROMA LA RGO LUIGI/OBK/SELBIT2BXXX BANCA SELLA S.P.A VIA ITALIA 2 BIELLA</t>
  </si>
  <si>
    <t>RBC31075JEJEQOCG</t>
  </si>
  <si>
    <t>/REMI//RFB/SWIFT HBUKGB4B 16 10 CEPEDA PET411303211/OCMT/GBP13163 ,28//BENM/GB30HBUK40116091170155 Assam Place Limited Partnership/ EXCH/000000000000//ORDP/1/MARYBEL MORENO SEPULVEDA 00005204165948 035195 2/ALAMO 755 3/MX/MONTE/OBK/BNMXMXMMXXX BANCO NACIONAL DE M EXICO S.A. ACTUARIO ROBERTO MEDELLIN 800 COL. SANT</t>
  </si>
  <si>
    <t>SWIFT HBUKGB4B 1</t>
  </si>
  <si>
    <t>RBC31075EKJEZLOL</t>
  </si>
  <si>
    <t>/REMI/ACOMODATION ROOM 4 CASELLA BENEDETTA GBS31075HTJ9DX6O/OCMT/ GBP4397,30//BENM/GB30HBUK40116091170155 Assam Place Limited Partn ership/EXCH/000000000000//ORDP/CASELLA BENEDETTA IT76J03069162061 00000063150 VIALE DELLA CONCORDIA 9/OBK/BCITITMMXXX INTESA SANPAO LO SPA PIAZZA DELLA SCALA 6 MILANO</t>
  </si>
  <si>
    <t>RBC31075JEJF26PS</t>
  </si>
  <si>
    <t>/REMI/SEYFFERT 7A PET583563212 /INS/GENODEFFXXX/OCMT/GBP24164,00/ /BENM/GB30HBUK40116091170155 Assam Place Limited Partnership/EXCH /000000000000//ORDP/1/Seyffert Matthias DE09790900000000502324 2/ Am Sand,15 3/DE/Schweinfu/OBK/GENODEF1WU1 VOLKSBANK RAIFFEISENBAN K WUERZBURG THEATERSTRASSE 26-28 WUERZBURG</t>
  </si>
  <si>
    <t>RBC31075KHJEMWLC</t>
  </si>
  <si>
    <t>/REMI/23 Dahl 20250731004700 /INS/HANDSESS/OCMT/GBP12905,84//BENM /GB30HBUK40116091170155 Assam Place Limited Partnership/EXCH/0000 00000000//ORDP/SELLERY HOLDING AB SE3560000000000474544281 BOX 53 098 400 14 GOTEBORG/OBK/HANDSESS SVENSKA HANDELSBANKEN AB KUNGSTR ADGARDSGATAN 2 STOCKHOLM</t>
  </si>
  <si>
    <t>309419</t>
  </si>
  <si>
    <t>AIRBNB PAYMENTS UK CITIBANK IRE FIN S /SREF/309419</t>
  </si>
  <si>
    <t>AIRBNB PAYMENTS UK</t>
  </si>
  <si>
    <t>BACS</t>
  </si>
  <si>
    <t>RBH31075K1JG4XMO</t>
  </si>
  <si>
    <t>/REMI/REF Parth 29.07 Refund to Parth Taneja R EF Parth 29.07 /DAS/REF:36017800087Q/OCMT/GBP184,43//BENM/6664015 17121 Nikhil Taneja/EXCH/000000000000//ORDP/Assam Place Limited P artnership he Gilbert, Greystar Ground Floor ( We/OBK/HBUKGB4B HS BC UK BANK PLC 1 CENTENARY SQUARE BIRMINGHAM</t>
  </si>
  <si>
    <t>REF Parth 29.07</t>
  </si>
  <si>
    <t>RBH31075K1JG4UYO</t>
  </si>
  <si>
    <t>/REMI/REF Cam 29.07 Refund to Camille Gassin REF Cam 29.07 /DAS/REF:0652780009DB/OCMT/GBP2050,14//BENM/FR7614 607003157501901435625 Cendrine Gassin/EXCH/000000000000//ORDP/Ass am Place Limited Partnership he Gilbert, Greystar Ground Floor ( We/OBK/HBUKGB4B HSBC UK BANK PLC 1 CENTENARY SQUARE BIRMINGHAM</t>
  </si>
  <si>
    <t>REF Cam 29.07</t>
  </si>
  <si>
    <t>1987780002OW</t>
  </si>
  <si>
    <t>REF HELEN 29.07 1987780002OW</t>
  </si>
  <si>
    <t>REF HELEN 29.07</t>
  </si>
  <si>
    <t>STRIPE</t>
  </si>
  <si>
    <t>AAJZY3ZB-CHAPTER-L STRIPE FIRST PAYMENT</t>
  </si>
  <si>
    <t>AAJZY3ZB-CHAPTER-L</t>
  </si>
  <si>
    <t>3962884054510370019020250730826400518</t>
  </si>
  <si>
    <t>KAPEL&amp;AGIOU FP56TE4646415974 /ROC/16.14 Kapellou /FPID/3962884054510370019020250730826400518</t>
  </si>
  <si>
    <t>16.14 Kapellou</t>
  </si>
  <si>
    <t>30/07/2025</t>
  </si>
  <si>
    <t>RBC30075KIJBGI10</t>
  </si>
  <si>
    <t>/REMI/REF 15 11 PRIETO PERSONAL EXPENSES FROM RENE JESUS PRIETO O BREGON PET411159211/OCMT/GBP5152,58//BENM/GB30HBUK40116091170155 Assam Place Limited Partnership/EXCH/000000000000//ORDP/VANTAGE B ANK TEXAS 1001892 45 NE LOOP 410 SAN ANTONIO, TX 78216/OBK/ZFNBU S55XXX ZIONS BANCORPORATION N.A. 3270 WEST 2200 SOUTH SALT LAKE C ITY</t>
  </si>
  <si>
    <t>RBC30075KIJBJ0G0</t>
  </si>
  <si>
    <t>/REMI/1 3 1 BRANCACCIO PET543265209/OCMT/GBP8331,28//BENM/GB30HBU K40116091170155 Assam Place Limited Partnership/EXCH/000000000000 //ORDP/1/CIPRIANO EMANUELA IT80Y0301503200000006287031 2/VIA CARD INALE PRISCO/OBK/FEBIITM2XXX FINECOBANK S.P.A. PIAZZALE FRANCESCO DURANTE 11 MILANO</t>
  </si>
  <si>
    <t>RBC30075IVJBKUO2</t>
  </si>
  <si>
    <t>/REMI/LOU MACAR CHAPTER ALDEGATE 13 01 EPH2507280092532/OCMT/GBP1 3894,22//BENM/GB30HBUK40116091170155 Assam Place Limited Partners hip/EXCH/000000000000//ORDP/1/PATRICE MARC MACAR MC58133380000130 24733000184 2/4 AV DES GUELFES 3//OBK/KBLXMCMCXXX BANQUE RICHELIE U MONACO BRETAGNE 8 AVENUE DE GRANDE BRETAGNE MONACO</t>
  </si>
  <si>
    <t>RBC30075EKJBR0LF</t>
  </si>
  <si>
    <t>/REMI/MAGAGULA ALDEGATE 6.8-A GBS30075KFJBNJ9E/OCMT/GBP3343,58//B ENM/GB30HBUK40116091170155 Assam Place Limited Partnership/EXCH/0 00000000000//ORDP/THULANI FREEDOM MAGAGULA 00000011614426600 164 RIVONIA ROAD MORNINGSID/OBK/DISCZAJJXXX DISCOVERY BANK LIMITED 1 DISCOVERY PLACE SANDTON JOHANNESBURG</t>
  </si>
  <si>
    <t>RBC30075G7JBS5Z6</t>
  </si>
  <si>
    <t>/REMI/REF: YANEZ 1.3.5-APAY MATHIAS YANEZ RBSDM2I33821145/OCMT/GB P4961,99//BENM/GB30HBUK40116091170155 Assam Place Limited Partner ship/EXCH/000000000000//ORDP/MARIA AUGUSTA SOLANO DE LA SALA TOR 1050177568 RES URB JARDINES SANTA/OBK/HELM BANK USA 999 BRICKELL AVE MIAMI,FL,33131,US</t>
  </si>
  <si>
    <t>RBC30075HAJBS5KW</t>
  </si>
  <si>
    <t>/REMI/CEBI CHAPTER ALDGATE 11.01 A GBS30075ELJBM3I8/OCMT/GBP5421, 16//BENM/GB30HBUK40116091170155 Assam Place Limited Partnership/E XCH/000000000000//ORDP/1/AYSE SEBNEM CEBI TR760006400000212950165 075 2/KARANFIL SK. . 1B KAPI/OBK/ISBKTRISXXX TURKIYE IS BANKASI A .S. IS KULELERI, KULE 1 4.LEVENT ISTANBUL</t>
  </si>
  <si>
    <t>RBC30075HTJBEEIO</t>
  </si>
  <si>
    <t>/REMI/SORTCODE-401160. AATMAN DESAI 16. 03 A SAVINGS B1850083512 70274 /BNF/DESAI VATSALA NARENDRA 402, PE//NINSULA HEIGHTS CD BAR FIWALA MARG//, J/OCMT/GBP25967,28//BENM/GB30HBUK40116091170155 As sam Place Limited Partnership/EXCH/000000000000//ORDP/DESAI SWETA L NARENDRA OR 402, 0800915707 PENINSULA HEIGHTS CD BARFIWAL/OBK/C ITISGSGXXX CITIBANK,N.A. 8 MARINA VIEW 21-00, ASIA SQUARE, TOWER 1 SINGAPORE</t>
  </si>
  <si>
    <t>RBC30075HTJBU2WW</t>
  </si>
  <si>
    <t>/REMI//DILAN CHANDARIA - 15.01 CHAPTER /ALDGATE 250730091619/OCMT /GBP9917,00//BENM/GB30HBUK40116091170155 Assam Place Limited Part nership/EXCH/000000000000//ORDP/DHANJI H. AND/OR I.D. CHANDARIA 1 11354 84 KYUNA ROAD,SPRING VALLEY, NR/OBK/GTBIKENAXXX GUARANTY TR UST BANK (KENYA) LTD SKY PARK PLAZA WOODVALE CLOSE NAIROBI</t>
  </si>
  <si>
    <t>RBC30075G7JBWO1T</t>
  </si>
  <si>
    <t>/REMI//URI//ROC/554145670329320///ROC/554145670329320 B1850083508 92172 /ACC/ONTIVEROS DEBRECENI-KIS TRUST //CHAPTER ALDGATE 14.08- B/OCMT/GBP8060,72//BENM/GB30HBUK40116091170155 Assam Place Limite d Partnership/EXCH/000000000000//ORDP/ONTIVEROS DEBRECENI-KIS TRU ST 42004301109 872 UNION ST SAN FRANCISCO C/OBK/CITIIE2XXXX CITIB ANK EUROPE PLC 1 NORTH WALL QUAY DUBLIN</t>
  </si>
  <si>
    <t>RBC30075G7JC3C1S</t>
  </si>
  <si>
    <t>/REMI/ALGATE. FLAT 1.2.3. ROOM A. JEA BRY Chapter residences Algate London GBS30075IUJ5FVCX /INS/CMCIF RPAXXX/OCMT/GBP10446,29//BENM/GB30HBUK40116091170155 Assam Place Limited Partnership/EXCH/000000000000//ORDP/M JEAN AUBRY FR761009 6180700005590980316 11 AVENUE ROBERT SCHUMAN FR 1/OBK/CMCIFRPPXXX CM - CIC BANQUES 6 AVENUE DE PROVENCE PARIS</t>
  </si>
  <si>
    <t>RBC30075H9JC61TT</t>
  </si>
  <si>
    <t>/REMI/PAYM FOR RENT FOR OSMAN AHMADOV 03.08.2006 AHMADOVA10.14 FT C4891108 01/OCMT/GBP5655,16//BENM/GB30HBUK40116091170155 Assam Pl ace Limited Partnership/EXCH/000000000000//ORDP/1/AHMADOV OSMAN F ARID AZ70IBAZ33811028263584595206 2/U.HAJIBAYLI STR 5/OBK/IBAZAZ2 XXXX THE INTERNATIONAL BANK OF AZERBAIJA 67 NIZAMI STREET BAKU</t>
  </si>
  <si>
    <t>RBC30075JFJCRZNM</t>
  </si>
  <si>
    <t>/REMI/Traunfellner7.7A OPF410133835/OCMT/GBP32,35//BENM/GB30HBUK4 0116091170155 Assam Place Limited Partnership/EXCH/000000000000// ORDP/Mag. Christian Traunfellner AT063200000006815583 Ried 180 AT /5360 St./OBK/RLNWATWWXXX RAIFFEISENLANDESBANK NIEDEROESTERRE Fri edrich-Wilhelm-Raiffeisenplatz</t>
  </si>
  <si>
    <t>208804</t>
  </si>
  <si>
    <t>AIRBNB PAYMENTS UK CITIBANK IRE FIN S /SREF/208804</t>
  </si>
  <si>
    <t>208805</t>
  </si>
  <si>
    <t>AIRBNB PAYMENTS UK CITIBANK IRE FIN S /SREF/208805</t>
  </si>
  <si>
    <t>208806</t>
  </si>
  <si>
    <t>AIRBNB PAYMENTS UK CITIBANK IRE FIN S /SREF/208806</t>
  </si>
  <si>
    <t>208807</t>
  </si>
  <si>
    <t>AIRBNB PAYMENTS UK CITIBANK IRE FIN S /SREF/208807</t>
  </si>
  <si>
    <t>BT GROUP PLC</t>
  </si>
  <si>
    <t>GP00612796-000071 BT GROUP PLC</t>
  </si>
  <si>
    <t>GP00612796-000071</t>
  </si>
  <si>
    <t>XP02334001889447591020250729826185008</t>
  </si>
  <si>
    <t>Stripe Payments UK FP56S74532810918 /EREF/RFP7B1E3O-AE4FP /ROC/RF-P7B1E3O0Q7R4 /FPID/XP02334001889447591020250729826185008</t>
  </si>
  <si>
    <t>RF-P7B1E3O0Q7R4</t>
  </si>
  <si>
    <t>29/07/2025</t>
  </si>
  <si>
    <t>RBC29075E9J89XHC</t>
  </si>
  <si>
    <t>/REMI/PASCUAL VAQUER + 6.4-A ROOM A GBS29075ITIW3VEO /LOCINS/CRED /INS/CAIXESBBXXX/OCMT/GBP15628,81//BENM/GB 30HBUK40116091170155 Assam Place Limited Partnership/EXCH/0000000 00000//ORDP/1/PATRICK JOEL PASCUAL LAVANCHY ES0621000103340200164 017 2/SON PERETO,/OBK/CAIXESBBXXX CAIXABANK, S.A. CALLE PINTOR SO ROLLA 2-4 VALENCIA</t>
  </si>
  <si>
    <t>RBC29075EAJ89YYR</t>
  </si>
  <si>
    <t>/REMI/11 14 JORDI BALLESTEROS ROSADO CHAPTER ALDGATE GBS29075ELIW E8G0 /LOCINS/CRED /INS/CAIXESBBXXX/OCMT/GBP 21942,00//BENM/GB30HBUK40116091170155 Assam Place Limited Partner ship/EXCH/000000000000//ORDP/1/JORDI BALLESTEROS NIETO ES69210010 72852001000742 2/PLAZUELA DE MONTE/OBK/CAIXESBBXXX CAIXABANK, S.A . CALLE PINTOR SOROLLA 2-4 VALENCIA</t>
  </si>
  <si>
    <t>RBC29075KHJ8DVCW</t>
  </si>
  <si>
    <t>/REMI//URI/3 6 4 JIRAMATAKORN///ROC/de1e56de60214ba49439360fd7279 db3 GBS29075FWJ8AITC /INS/KASITHBKXXX/OCMT/GBP24221,00//BENM/GB30 HBUK40116091170155 Assam Place Limited Partnership/EXCH/000000000 000//ORDP/1/PANPORN JIRAMATAKORN 0023990261 2/EKKACHAI,89/1-2,soi ekkachai 80/2/OBK/KASITHBKXXX KASIKORNBANK PUBLIC COMPANY LIMITE D 400/22, PHAHON YOTHIN BUILDING PH</t>
  </si>
  <si>
    <t>RBC29075EKJ8JJY9</t>
  </si>
  <si>
    <t>/REMI//URI/Henao I 1.39///ROC/0692696010009823 PET516836210/OCMT/ GBP10833,14//BENM/GB30HBUK40116091170155 Assam Place Limited Part nership/EXCH/000000000000//ORDP/CORTES ACOSTA ANDRES AURELIO ES79 00490692742010087171 AV EMILIO ARRIET/OBK/BSCHESMMXXX BANCO SANTA NDER S.A. EDIFICIO PAMPA CAMINO DE CANTABRIA S/N MADRID</t>
  </si>
  <si>
    <t>RBC29075KHJ8S402</t>
  </si>
  <si>
    <t>/REMI/NOJIMA CHAPTER ALDGATE 3.7.2 095RTJ.40502896 FT002808922642 61 /ACC/PURPOSE:LIVING EXPENSE. BIRMIN//GHAM UNITED KINGDOM. /INS/SMB/OCMT/GBP23445,28//BENM/GB30HBUK40116091170155 As sam Place Limited Partnership/EXCH/000000000000//ORDP/TOSHIHIRO N OJIMA JAPAN HYOGO-KEN NI 0049-2-80059817 0049-00606054 SHIN/OBK/S MTCJPJT SMBC TRUST BANK LTD. SMBC EAST TOWER 1-3-2 MARUNOUCHI CHI YODA</t>
  </si>
  <si>
    <t>RBS29075IVJ7Z8W0</t>
  </si>
  <si>
    <t>/REMI//URI/RECIPIENT: ASSAM PLACE LIMITEDPARTNERSHIP - RENT COLLE CTIONSMEMO . CREDIT TO: ROMAN SAER PEREZ ROOM:14.01 CHAPTER ALDGA TE///ROC/36761+/OCMT/USD6878,12//BENM/40116091170155 Assam Place Limited Partnership/EXCH/1.3623579//ORDP/SANDRA PEREZ 717007220 1 3526 DEEPRIVER DR WHITTIER CA 90601-1101 US/OBK/CHASUS33 JPMORGAN CHASE BANK, N.A. 383 MADISON AVENUE NEW YORK/TMS/2025-07-29T14:2 5:17 GMT/MID/1.33296920</t>
  </si>
  <si>
    <t>RBC29075JFJ833NK</t>
  </si>
  <si>
    <t>/REMI/SORTCODE-401160. AATMAN DESAI 100 , 00348077 SAVINGS B1850 08350942379 /BNF/DESAI VATSALA NARENDRA 402, PE//NINSULA HEIGHTS CD BARFIWALA MAR/OCMT/GBP185,00//BENM/GB30HBUK40116091170155 Assa m Place Limited Partnership/EXCH/000000000000//ORDP/DESAI SWETAL NARENDRA OR 402, 0800915707 PENINSULA HEIGHTS CD BARFIWAL/OBK/CIT ISGSGXXX CITIBANK,N.A. 8 MARINA VIEW 21-00, ASIA SQUARE, TOWER 1 SINGAPORE</t>
  </si>
  <si>
    <t>144745</t>
  </si>
  <si>
    <t>AIRBNB PAYMENTS UK CITIBANK IRE FIN S /SREF/144745</t>
  </si>
  <si>
    <t>XP66251679198631171020250728826185008</t>
  </si>
  <si>
    <t>Stripe Payments UK FP56R81945966317 /EREF/RFZ9Q4V4W-FYNWF /ROC/RF-Z9Q4V4W3R8U9 /FPID/XP66251679198631171020250728826185008</t>
  </si>
  <si>
    <t>RF-Z9Q4V4W3R8U9</t>
  </si>
  <si>
    <t>28/07/2025</t>
  </si>
  <si>
    <t>4972325504228270019020250728826402702</t>
  </si>
  <si>
    <t>MAHADIK A FP56RL4233592870 /ROC/MahadikA314 /FPID/4972325504228270019020250728826402702</t>
  </si>
  <si>
    <t>MahadikA314</t>
  </si>
  <si>
    <t>MF00042D52F0A8F2001020250728826200000</t>
  </si>
  <si>
    <t>GOBRITANYA EXP FP56RG0307710107 /EREF/MF00042D52F0A8F200 /ROC/AL 24-25 004 /FPID/MF00042D52F0A8F2001020250728826200000</t>
  </si>
  <si>
    <t>AL 24-25 004</t>
  </si>
  <si>
    <t>DF25208097897155001020250727826200000</t>
  </si>
  <si>
    <t>Michelangelo Ridol FP56R20717000860 /EREF/E250727ZTSBGRPC /REMI/Revolut Ltd /ROC/M Ridolfi 14.18 /FPID/DF25208097897155001020250727826200000</t>
  </si>
  <si>
    <t>M Ridolfi 14.18</t>
  </si>
  <si>
    <t>RBC28075H9J4UPXC</t>
  </si>
  <si>
    <t>/REMI/Badescu 10 GBS28075KFIVU268 /INS/GIBAATWGXXX/OCMT/GBP20,00/ /BENM/GB30HBUK40116091170155 Assam Place Limited Partnership/EXCH /000000000000//ORDP/Badescu Anais RO32RNCB0289175830330008 BUCURE STI Barbu Iscovescu 15 AP/OBK/RNCBROBUXXX BANCA COMERCIALA ROMANA S.A THE BRIDGE BUILDING, BUILDING 1 ORHIDEELO</t>
  </si>
  <si>
    <t>RBC28075EAJ4X69U</t>
  </si>
  <si>
    <t>/REMI/21A STUGEMO TAMPOELD PET540806205/OCMT/GBP183,50//BENM/GB30 HBUK40116091170155 Assam Place Limited Partnership/EXCH/000000000 000//ORDP/STUGEMO,BRITTA SE5130000000040511998070 HERDEVAGEN 3 /S E/13150 SALTSJ/OBK/NDEASESSXXX NORDEA BANK ABP, FILIAL I SVERIGE HAMNGATAN 10 STOCKHOLM</t>
  </si>
  <si>
    <t>RBC28075ELJ4Z96O</t>
  </si>
  <si>
    <t>/REMI/21 A STUGEMO TAMPOELD PET542986205/OCMT/GBP4902,07//BENM/GB 30HBUK40116091170155 Assam Place Limited Partnership/EXCH/0000000 00000//ORDP/STUGEMO,BRITTA SE5130000000040511998070 HERDEVAGEN 3 /SE/13150 SALTSJ/OBK/NDEASESSXXX NORDEA BANK ABP, FILIAL I SVERI GE HAMNGATAN 10 STOCKHOLM</t>
  </si>
  <si>
    <t>RBC28075HAJ54QDF</t>
  </si>
  <si>
    <t>/REMI/EDWARD BERTHOLET / 9.1.3 -A CHAPTERALDGATE NWBDM2I85820809/ OCMT/GBP19822,68//BENM/GB30HBUK40116091170155 Assam Place Limited Partnership/EXCH/000000000000//ORDP/BERTHOLET ARNAUD LU120141954 773403030 UM BURGKNAPP 10 L-9636 BERLE GRA/OBK/CELLLULLCTD ING LU XEMBOURG S.A. (FORMERLY CREDI 26, PLACE DE LA GARE LUXEMBOURG</t>
  </si>
  <si>
    <t>RBC28075E9J57HJ5</t>
  </si>
  <si>
    <t>/REMI/SAMUELMIN CHAPTER ALDGATE 6.5 A 6.5A SAMUEL MIN GBS28075KFJ 570SG/OCMT/GBP24755,02//BENM/GB30HBUK40116091170155 Assam Place L imited Partnership/EXCH/000000000000//ORDP/MIN BYUNG JE 059600764 GIMPO HANGANG 7 R0 22 GIL 22 HILLE STATE 509-15/OBK/HVBKKRSEXXX WOORI BANK, SEOUL 17, WORLD CUP BUK-RO 60-GIL SEOUL</t>
  </si>
  <si>
    <t>RBC28075IWJ57HVL</t>
  </si>
  <si>
    <t>/REMI/9 6 1A GOMILA GARCIA GBS28075H8IST9HC /LOCINS/CRED /INS/CAIXESBBXXX/OCMT/GBP12833,32//BENM/GB30HBUK401 16091170155 Assam Place Limited Partnership/EXCH/000000000000//OR DP/1/JOSE ANTONIO GOMILA ORTEGA ES0421002288100200051711 2/VIRGEN DE LOS/OBK/CAIXESBBXXX CAIXABANK, S.A. CALLE PINTOR SOROLLA 2-4 VALENCIA</t>
  </si>
  <si>
    <t>RBC28075IWJ57OAQ</t>
  </si>
  <si>
    <t>/REMI/Rent 6.1.1-Geys GBS28075KFJ4XQGW /INS/BAERCHZZ/OCMT/GBP9732 ,86//BENM/GB30HBUK40116091170155 Assam Place Limited Partnership/ EXCH/000000000000//ORDP/1/MR RAPHAEL R GEYS KASTEELDREEF 17 CH130 8515450014412004 2/8020 OOSTK/OBK/BAERGGSP BANK JULIUS BAER AND C O LTD (GUERNS THE PLAZA 1 ELIZABETH AVENUE ST. PET</t>
  </si>
  <si>
    <t>RBC28075HSJ5DWEC</t>
  </si>
  <si>
    <t>/REMI/RENT - ALEXS UK ACCOMMODATION A LEXANDER GABRIEL SUPNET UNIT 18A, CHAPTER ALDGATE GBS28075FVJ5DTFK /INS/HSBCHKH HHKH/OCMT/GBP35685,63//BENM/GB30HBUK40116091170155 Assam Place Li mited Partnership/EXCH/000000000000//ORDP/MF JEBSEN INTERNATIONAL LIMITED 502377211001 29/F,ISLAND PLACE TOWER,/OBK/HSBCHKHHHKH HO NGKONG AND SHANGHAI BANKING CORPO 1 QUEEN'S ROAD CENTRAL CENTRAL AN</t>
  </si>
  <si>
    <t>RBC28075H9J5JCU8</t>
  </si>
  <si>
    <t>/REMI/Van Sleeuwen - B1208 GBS28075KGJ5J7CW /INS/RABONL2UXXX/OCMT /GBP3129,30//BENM/GB30HBUK40116091170155 Assam Place Limited Part nership/EXCH/000000000000//ORDP/1/Martin Johannes Wilhelmus van S le NL68RABO0122576373 1/euwen 2/Lelie/OBK/RABONL2U RABOBANK CROES ELAAN 18 UTRECHT</t>
  </si>
  <si>
    <t>RBQ28075OJJ4ZM2R</t>
  </si>
  <si>
    <t>NARRATIVE 15.07A RABE /ORDP//DE16500105175409 15.07A RABE/BENM//40116091170155ASS</t>
  </si>
  <si>
    <t>Adriana Hettich</t>
  </si>
  <si>
    <t>SCT</t>
  </si>
  <si>
    <t>RBC28075EKJ5TIO4</t>
  </si>
  <si>
    <t>/REMI/PRIYA RAJENDRAPRASHAD SAMJI 1029696001IVPY14 /INS/ABBYGB3EX XX/OCMT/GBP8300,00//BENM/91170155 ASSAM PLACE LTD/EXCH/0000000000 00//ORDP/PT50001800036058782102083 001510296960IVPY14 RAJENDRAPRA SHAD SAMJI PT//OBK/ABBYGB2L SANTANDER UK PLC REGENTS PLACE 2 TRIT ON SQUARE LONDON</t>
  </si>
  <si>
    <t>604728</t>
  </si>
  <si>
    <t>AIRBNB PAYMENTS UK CITIBANK IRE FIN S /SREF/604728</t>
  </si>
  <si>
    <t>604729</t>
  </si>
  <si>
    <t>NO.QJ5YLTVTMSEOS6K BOOKING.COM BV /SREF/604729</t>
  </si>
  <si>
    <t>NO.QJ5YLTVTMSEOS6K</t>
  </si>
  <si>
    <t>9756604350206270019020250726826400300</t>
  </si>
  <si>
    <t>LIM&amp;LOKE FP56P10639749656 /ROC/ERICALIM-2.10A /FPID/9756604350206270019020250726826400300</t>
  </si>
  <si>
    <t>ERICALIM-2.10A</t>
  </si>
  <si>
    <t>26/07/2025</t>
  </si>
  <si>
    <t>7110144010316270019020250726826402527</t>
  </si>
  <si>
    <t>OBEROI R FP56PC0211038712 /ROC/Oberoi- 3.1.5 /FPID/7110144010316270019020250726826402527</t>
  </si>
  <si>
    <t>Oberoi- 3.1.5</t>
  </si>
  <si>
    <t>5000000016005853151020250725826309664</t>
  </si>
  <si>
    <t>G Arcos Flores FP56OF0610477007 /ROC/Arcos Flores 19-A /FPID/5000000016005853151020250725826309664</t>
  </si>
  <si>
    <t>Arcos Flores 19-A</t>
  </si>
  <si>
    <t>25/07/2025</t>
  </si>
  <si>
    <t>TW00000014289108091020250725826230801</t>
  </si>
  <si>
    <t>Zarko Javier Pajar FP56OI4105528985 /EREF/2.4A-Pajarino /ROC/2.4A-Pajarino /FPID/TW00000014289108091020250725826230801</t>
  </si>
  <si>
    <t>2.4A-Pajarino</t>
  </si>
  <si>
    <t>XP88896341051366361020250725826185008</t>
  </si>
  <si>
    <t>Stripe Payments UK FP56O71103546094 /EREF/RFW1P0Q3T-2WPLJ /ROC/RF-W1P0Q3T6V9R0 /FPID/XP88896341051366361020250725826185008</t>
  </si>
  <si>
    <t>RF-W1P0Q3T6V9R0</t>
  </si>
  <si>
    <t>RBS24075ELISPYGW</t>
  </si>
  <si>
    <t>/REMI/PERSONAL STUDYING EXPENSES PERSONAL NCBK82825205ARWN/OCMT/SAR35000,00//BENM/GB30H BUK40116091170155 Assam Place Limited Partnership/EXCH/5.1906238/ /ORDP/MOHAMMED JUBRAN ALQAHTANI 70500000107604 AL AKHDAR BIN AL ST,AL NUZHA/TMS/2025-07-24T13:17:48 GMT/MID/5.07813370</t>
  </si>
  <si>
    <t>RBC25075EKIUVREO</t>
  </si>
  <si>
    <t>/REMI/OZGE TOSUN ROOM NO:13.14 250723129364 /INS/FNNBTRISTRO/OCMT /GBP13583,13//BENM/GB30HBUK40116091170155 Assam Place Limited Par tnership/EXCH/000000000000//ORDP/LEVENT TOSUN TR80001110000000014 9788311 21508582270 D. INALLAR HAYAT S/OBK/FNNBTRISOPS QNB BANK A NONIM SIRKETI ISTANBUL</t>
  </si>
  <si>
    <t>RBC25075G6IUX0CH</t>
  </si>
  <si>
    <t>/REMI/PAGO RESIDENCIA ESTUDIANTIL 250725015184/OCMT/GBP14559,00// BENM/GB30HBUK40116091170155 Assam Place Limited Partnership/EXCH/ 000000000000//ORDP/MATOS VILLAVICENCIO HERNAN HENRY OS 1930090947 35100 CAR CALOS PETIRROJ/OBK/BCPLPEPLXXX BANCO DE CREDITO DEL PER U AV. JUAN DE ARONA 893 FLOOR 3, INTL.BANKING</t>
  </si>
  <si>
    <t>RBC25075HTIV24QQ</t>
  </si>
  <si>
    <t>/REMI//URI/FIRST INSTALMENT ACCOMODATION ARIANNA PIPINO(ROOM 15.0 6)///ROC/111016351334 PET572166204/OCMT/GBP19125,57//BENM/GB30HBU K40116091170155 Assam Place Limited Partnership/EXCH/000000000000 //ORDP/1/EURO MASTER STUDIES SRL IT29Q0200804030000102652184 2/CO RSO CAVOUR,1/OBK/UNCRITMMXXX UNICREDIT S.P.A. TOWER A PIAZZA GAE AULENTI 3 MILANO</t>
  </si>
  <si>
    <t>RBC25075HSIVDW3K</t>
  </si>
  <si>
    <t>/REMI/MARTIN BUSTAM.room A+flat10.15 EPH2507240293300/OCMT/GBP424 6,42//BENM/GB30HBUK40116091170155 Assam Place Limited Partnership /EXCH/000000000000//ORDP/MARTIN DE BUSTAMANTE LUIS ES690200110168 6650014324 CL OSA MAYOR 5 2802/OBK/DEGRESBBXXX ANDBANK ESPANA BAN CA PRIVADA, S.A. PASEO DE LA CASTELLANA 55 MADRID</t>
  </si>
  <si>
    <t>RBC25075HSIVKK5C</t>
  </si>
  <si>
    <t>/REMI/CHAPTER ALDGATE VITO BRAUN 9.1.1 A 250725108407 /INS/GIBA ATWGXXX/OCMT/GBP8656,00//BENM/GB30HBUK40116091170155 Assam Place Limited Partnership/EXCH/000000000000//ORDP/1/Boris Braun CZ63080 00000002024694253 2/Nad Patankou 1812/34 3/CZ/160/OBK/GIBACZPXXXX CESKA SPORITELNA A.S. OLBRACHTOVA 62 PRAGUE</t>
  </si>
  <si>
    <t>RBC25075IWIW0TA8</t>
  </si>
  <si>
    <t>/REMI/ACCOMMODATION EXPENSES AVNI JAIN BUILDING CHAPTER ALDGATE F LAT 4 1 3 ROOM A PET622533206/OCMT/GBP4955,59//BENM/GB30HBUK40116 091170155 Assam Place Limited Partnership/EXCH/000000000000//ORDP /RAJIV JAIN 117710011002281 HOUSE NO 24 SECTOR 15, H NO 24 SEC 15 SONIP/OBK/UBININBBPAN UNION BANK OF INDIA G.T. ROAD PANIPAT PANI PAT</t>
  </si>
  <si>
    <t>348239</t>
  </si>
  <si>
    <t>AIRBNB PAYMENTS UK CITIBANK IRE FIN S /SREF/348239</t>
  </si>
  <si>
    <t>REV5337540667314921020250724826230120</t>
  </si>
  <si>
    <t>Deekshita Rama FP56NG4338564238 /EREF/REV533754066731492 /ROC/D.Rama-11a (Sep) /FPID/REV5337540667314921020250724826230120</t>
  </si>
  <si>
    <t>D.Rama-11a (Sep)</t>
  </si>
  <si>
    <t>24/07/2025</t>
  </si>
  <si>
    <t>5711372040914270019020250724826401262</t>
  </si>
  <si>
    <t>AGARWAL FP56NI0428101789 /ROC/Room transfer fee /FPID/5711372040914270019020250724826401262</t>
  </si>
  <si>
    <t>Room transfer fee</t>
  </si>
  <si>
    <t>RBS24075JEIQ26WW</t>
  </si>
  <si>
    <t>/REMI/REFERENCE HUERTASCAMACHOS616 2025072300119144 /CCT//OCMT/US D5621,70//BENM/GB30HBUK40116091170155 Assam Place Limited Partner ship/EXCH/1.3879164//ORDP/JORGE HUERTAS 000002019807599 3624 LA S ALLE AVE SAINT CLOUD FL 34772/TMS/2025-07-24T03:27:50 GMT/MID/1.3 5797690</t>
  </si>
  <si>
    <t>RBQ24075PHI1GMA0</t>
  </si>
  <si>
    <t>NARRATIVE 15.07A RABE /ORDP//DE165001051754 15.07A RABE/BENM//40116091170155ASS</t>
  </si>
  <si>
    <t>RBS24075H9IP2F40</t>
  </si>
  <si>
    <t>/REMI/10.01 - TRAVNICEK 6CP3528851821602/OCMT/GBP9917,86//BENM/GB 30HBUK40116091170155 Assam Place Limited Partnership/EXCH/0000000 00000//ORDP/1/TRAVNICKOVA DIANA CZ0801000001237789690257 2/NOVA,7 36/79 3/SK/SOBRAN/OBK/KOMBCZPPXXX KOMERCNI BANKA A.S. NA PRIKOPE 33 PRAGUE</t>
  </si>
  <si>
    <t>RBC24075JEIRUBB6</t>
  </si>
  <si>
    <t>/REMI/Cavalli room 1607 EPH2507230256000/OCMT/GBP29481,65//BENM/G B30HBUK40116091170155 Assam Place Limited Partnership/EXCH/000000 000000//ORDP/1/CAVALLI LEOPOLDO IT60R0306234210000001177417 2/VIA SAN MAMOLO 99/3 3/OBK/MEDBITMMXXX BANCA MEDIOLANUM PALAZZO MEUCC I VIA FRANCESCO SFORZA 3 BASIGLIO</t>
  </si>
  <si>
    <t>RBC24075IWIS8JWG</t>
  </si>
  <si>
    <t>/REMI/NEGRI CHAPTER ALDGATE 3.6 A GBS24075G6ILOU68 /INS/BAPPIT22X XX/OCMT/GBP5051,02//BENM/GB30HBUK40116091170155 Assam Place Limit ed Partnership/EXCH/000000000000//ORDP/1/MANCINI IDA ANTONIA NEGR I CORRADO IT98J0503401647000000007939 2/VIA/OBK/BAPPIT22 BANCO BP M SPA PIAZZA MEDA 4 MILANO</t>
  </si>
  <si>
    <t>RBC24075JFIS8SU8</t>
  </si>
  <si>
    <t>/REMI/29 A ORIOL BESOLI EPH2507240040435/OCMT/GBP185,00//BENM/GB3 0HBUK40116091170155 Assam Place Limited Partnership/EXCH/00000000 0000//ORDP/AGNES BESOLI NOVELL AD1300010000101100100100 C/ LES CA NALS N 41 PRINCI/OBK/BACAADADXXX ANDORRA BANC AGRICOL REIG S.A. 6 MANUEL CERQUEDA ESCALER ESCALDES-ENG</t>
  </si>
  <si>
    <t>RBC24075E9ISQ4CH</t>
  </si>
  <si>
    <t>/REMI/STUDIES ABROAD AADI NATHANY ROOM NO 84A 250724148118 /KOT AKREM/KB10000540210033 /INS/KKBKINBBCPC/OCMT/GBP5010,00// BENM/GB30HBUK40116091170155 Assam Place Limited Partnership/EXCH/ 000000000000//ORDP/GAUTAM NATHANY 6611769275 D 244 DEVI MARG BA NI PARK JAIPUR INDIA/OBK/KKBKINBBXXX KOTAK MAHINDRA BANK LIMITED G BLOCK 27, C-27 MUMBAI</t>
  </si>
  <si>
    <t>RBC24075G6IRTPHE</t>
  </si>
  <si>
    <t>/REMI/PAGO DE SERVICIO GBS24075FVIPYTJ4 /ACC/PIB VAZQUEZ021A /INS/BIMEMXMMXXX/OCMT/GBP6389,28//BENM/40116091170155 A ssam Place Limited Partnership/EXCH/000000000000//ORDP/FERNANDO V AZQUEZ GARCIA 4022285225 MX CD DE MEXICO COYOACAN CLL AGAVE/OBK/B IMEMXMMXXX HSBC MEXICO, S.A., INSTITUCION DE B PASEO DE LA REFORM A 347 CUAUHTEMO</t>
  </si>
  <si>
    <t>RBC24075EAISWJGH</t>
  </si>
  <si>
    <t>/REMI/PAYMENT TOWARDS EDUCATION CHAITANYAGUPTA GBS24075JEISIO3K/O CMT/GBP9871,42//BENM/GB30HBUK40116091170155 Assam Place Limited P artnership/EXCH/000000000000//ORDP/SUCHETA SARVADAMAN NAKUL 06192 041005640 S 481 GREATER KAILASH 2 SOUTH/OBK/PUNBINBBMRD PUNJAB NA TIONAL BANK FLOOR 2, ECE HOUSE 28, KASTURBA GANDHI MARG NEW</t>
  </si>
  <si>
    <t>RBC24075KIIT04ZK</t>
  </si>
  <si>
    <t>/REMI/RENT PERIOD 06.09.25 TO 28.08.2026 TENANT NAME - ASHLESHA HIMANSHU BHATE , INSTALLMENT 1 250724163458 /INS/SRCBINBBPUN/OCMT /GBP8894,86//BENM/GB30HBUK40116091170155 Assam Place Limited Part nership/EXCH/000000000000//ORDP/BHATE HIMANSHU RAMESH 51000000045 3535 A605 AMBIENCE ANTILIA NEAR KAPIL/OBK/SRCBINBBXXX SARASWAT CO -OPERATIVE BANK LTD. EKANATH THAKUR BHAVAN 953, APPASAHEB</t>
  </si>
  <si>
    <t>167798</t>
  </si>
  <si>
    <t>AIRBNB PAYMENTS UK CITIBANK IRE FIN S /SREF/167798</t>
  </si>
  <si>
    <t>RBC23075EAIOAPMQ</t>
  </si>
  <si>
    <t>/REMI/Chapter Aldgate (Stuffer Michael 14.14 -A) 250721189160 /IN S/CCRTIT2TXXX/OCMT/GBP19224,00//BENM/GB30HBUK40116091170155 Assam Place Limited Partnership/EXCH/000000000000//ORDP/1/STUFFER PETE R IT40M0818711600000004042400 2/WEGGENSTEINSTRASSE 53 3//OBK/CCRT IT2TRIT RAIFFEISENKASSE RITTEN CASSA RURALE VIA DEL PAESE 7 COLLA LBO RENON</t>
  </si>
  <si>
    <t>23/07/2025</t>
  </si>
  <si>
    <t>RBC23075KIIOFJ9C</t>
  </si>
  <si>
    <t>/REMI//RFB/PAGO DE ARIIENDO DE DEPARTAMENTO ARCOS GEORGIANA19A FT C2895811 01 /INS/CHASUS33XXX/OCMT/GBP4586,49//BENM/GB30HBUK401160 91170155 Assam Place Limited Partnership/EXCH/000000000000//ORDP/ YANEZ CABRERA PEDRO XAVIER 2100092790 1709252512 CALLE GONZALEZ S UAREZ/OBK/BANCO PICHINCHA C.A. Y IGNACIO PEREIRA PICHINCHA QUITO E CUADOR 17015-0 EC</t>
  </si>
  <si>
    <t>PAGO DE ARIIENDO</t>
  </si>
  <si>
    <t>RBC23075KIIOAPC1</t>
  </si>
  <si>
    <t>/REMI/13.08-A MASENZA 250721195803/OCMT/GBP17420,44//BENM/GB30HBU K40116091170155 Assam Place Limited Partnership/EXCH/000000000000 //ORDP/SIMONA SCATTAGLIA CARTAGO IT90Y0326803212052799804030 ROMA LARGO LUIGI/OBK/SELBIT2BXXX BANCA SELLA S.P.A VIA ITALIA 2 BIELL A</t>
  </si>
  <si>
    <t>RBC23075JFIOLRIB</t>
  </si>
  <si>
    <t>/REMI/Traunfellner7.7A 6008204D2C640001/OCMT/GBP3968,29//BENM/GB3 0HBUK40116091170155 Assam Place Limited Partnership/EXCH/00000000 0000//ORDP/Mag. Christian Traunfellner AT063200000006815583 Ried 180 AT/5360 St./OBK/RLNWATWW RAIFFEISENLANDESBANK NIEDEROESTERRE Friedrich-Wilhelm-Raiffeisenplatz 1</t>
  </si>
  <si>
    <t>RBC23075JEIP07GG</t>
  </si>
  <si>
    <t>/REMI/Badescu10 250723035982 /INS/GIBAATWGXXX/OCMT/GBP17417,00//B ENM/GB30HBUK40116091170155 Assam Place Limited Partnership/EXCH/0 00000000000//ORDP/Badescu Anais RO32RNCB0289175830330008 BUCUREST I Barbu Iscovescu 15 AP/OBK/RNCBROBUXXX BANCA COMERCIALA ROMANA S .A THE BRIDGE BUILDING, BUILDING 1 ORHIDEELO</t>
  </si>
  <si>
    <t>RBC23075IVIP3JI8</t>
  </si>
  <si>
    <t>/REMI//URI/16- CORRAL VILLARREAL///ROC/1104474780/1XXXX GBS23075F WIMHC00 /INS/PICTCHGGXXX/OCMT/GBP12564,28//BENM/GB30HBUK401160911 70155 Assam Place Limited Partnership/EXCH/000000000000//ORDP/1/J AVIER CORRAL JIMENEZ CH9108755052629600100 2/C/CAMINO VIEJO DEL C UR/OBK/PICTCHGGXXX BANQUE PICTET ET CIE SA RTE DES ACACIAS 60 GEN EVA</t>
  </si>
  <si>
    <t>206786</t>
  </si>
  <si>
    <t>AIRBNB PAYMENTS UK CITIBANK IRE FIN S /SREF/206786</t>
  </si>
  <si>
    <t>206788</t>
  </si>
  <si>
    <t>AIRBNB PAYMENTS UK CITIBANK IRE FIN S /SREF/206788</t>
  </si>
  <si>
    <t>206787</t>
  </si>
  <si>
    <t>AIRBNB PAYMENTS UK CITIBANK IRE FIN S /SREF/206787</t>
  </si>
  <si>
    <t>RBQ22075QTIL60XZ</t>
  </si>
  <si>
    <t>NARRATIVE NOTPROVIDED/ULTD//NAME/LAVENUTA FED FEDERICA LAVENUTA 1ST INSTALMENT RO</t>
  </si>
  <si>
    <t>LAVENUTA FEDERICA</t>
  </si>
  <si>
    <t>22/07/2025</t>
  </si>
  <si>
    <t>RBQ22075PHIL601U</t>
  </si>
  <si>
    <t>NARRATIVE NOT PROVIDED//14/ORDP//IT53N0306234 INSTALMENT 1 FIAT 16.02 A RICCA</t>
  </si>
  <si>
    <t>MOSCA CHRISTOPHE E</t>
  </si>
  <si>
    <t>RBC22075G7IM8TDU</t>
  </si>
  <si>
    <t>/REMI/ACCOMODATION FEES SUR NAME RANKA ROOM NO 1 2 1 250722159278 /INS/KVBLINBBFPC/OCMT/GBP11733,43//BENM/GB30HBUK40116091170155 A ssam Place Limited Partnership/EXCH/000000000000//ORDP/SHWETA RAN KA 1153155000198924 NO 44 87 ARUNACHALAM STREET CHINTADRIPET/OBK/ KVBLINBBXXX KARUR VYSYA BANK LTD., THE CENTRAL OFFICE ERODE ROAD KARUR</t>
  </si>
  <si>
    <t>191029</t>
  </si>
  <si>
    <t>AIRBNB PAYMENTS UK CITIBANK IRE FIN S /SREF/191029</t>
  </si>
  <si>
    <t>XP89048667178018321020250721826185008</t>
  </si>
  <si>
    <t>Stripe Payments UK FP56K81031155554 /EREF/RFF5O3N5P-7X07R /ROC/RF-F5O3N5P6N6D1 /FPID/XP89048667178018321020250721826185008</t>
  </si>
  <si>
    <t>RF-F5O3N5P6N6D1</t>
  </si>
  <si>
    <t>21/07/2025</t>
  </si>
  <si>
    <t>RBC21075EKIIHR40</t>
  </si>
  <si>
    <t>/REMI//URI/Ayuso de Benito- Room number 13.08B///ROC/PGGP60216457 1215 PET610759202/OCMT/GBP8432,16//BENM/GB30HBUK40116091170155 As sam Place Limited Partnership/EXCH/000000000000//ORDP/1/BEGO A DE BENITO FERNANDEZ ES8001826138110201511347 2/MONASTERIO DE/OBK/BB VAESMMXXX BANCO BILBAO VIZCAYA ARGENTARIA S.A PZ DE SAN NICOLAS 4 BILBAO</t>
  </si>
  <si>
    <t>410557</t>
  </si>
  <si>
    <t>NO.1II935FJOACQGKV BOOKING.COM BV /SREF/410557</t>
  </si>
  <si>
    <t>NO.1II935FJOACQGKV</t>
  </si>
  <si>
    <t>410556</t>
  </si>
  <si>
    <t>AIRBNB PAYMENTS UK CITIBANK IRE FIN S /SREF/410556</t>
  </si>
  <si>
    <t>5000000015976076981020250720826309279</t>
  </si>
  <si>
    <t>A Dua FP56JC1452628384 /ROC/Dua3.5-b /FPID/5000000015976076981020250720826309279</t>
  </si>
  <si>
    <t>Dua3.5-b</t>
  </si>
  <si>
    <t>20/07/2025</t>
  </si>
  <si>
    <t>REV5302169357384611020250720826042909</t>
  </si>
  <si>
    <t>Mehdi Baraka FP56JE2932886193 /EREF/REV530216935738461 /ROC/Sent from Revolut /FPID/REV5302169357384611020250720826042909</t>
  </si>
  <si>
    <t>Sent from Revolut</t>
  </si>
  <si>
    <t>TW00000014208278931020250718826231470</t>
  </si>
  <si>
    <t>Veronica Bonilla G FP56I92641189194 /EREF/2.1.7-Soriano /ROC/2.1.7-Soriano /FPID/TW00000014208278931020250718826231470</t>
  </si>
  <si>
    <t>2.1.7-Soriano</t>
  </si>
  <si>
    <t>19/07/2025</t>
  </si>
  <si>
    <t>15536937534300194 1020250719826070436</t>
  </si>
  <si>
    <t>Poul-Erik Laursen FP56IB4137107541 /ROC/LAURSEN714-B /FPID/15536937534300194 1020250719826070436</t>
  </si>
  <si>
    <t>LAURSEN714-B</t>
  </si>
  <si>
    <t>XP11960388024707321020250718826185008</t>
  </si>
  <si>
    <t>Stripe Payments UK FP56H73918864209 /EREF/RFD8I6G4N-QCDRP /ROC/RF-D8I6G4N0C1V1 /FPID/XP11960388024707321020250718826185008</t>
  </si>
  <si>
    <t>RF-D8I6G4N0C1V1</t>
  </si>
  <si>
    <t>18/07/2025</t>
  </si>
  <si>
    <t>RBC18075KHI8C18H</t>
  </si>
  <si>
    <t>/REMI//URI/Room 14.08-A (Regina Patino)///ROC/5415696010AAMU29 PE T405162199/OCMT/GBP8056,72//BENM/GB30HBUK40116091170155 Assam Pla ce Limited Partnership/EXCH/000000000000//ORDP/PATINO MONDRAGON A NA SOFIA ES2300495415412618104174 CL CARDENAL ZUNIGA/OBK/BSCHESMM XXX BANCO SANTANDER S.A. EDIFICIO PAMPA CAMINO DE CANTABRIA S/N M ADRID</t>
  </si>
  <si>
    <t>RBC18075HSI8D4QQ</t>
  </si>
  <si>
    <t>/REMI/TAN7.5 250718089734 /ACC/JOINT AC INFO ON REQ STUDENTAC//CO MODATION/OCMT/GBP21501,88//BENM/40116091170155 Assam Place Limite d Partnership/EXCH/000000000000//ORDP/TAN MENG DUI/KANG LAI LENG (JIANG L 0729974405 ILING) 10 LEEDON HEIGHT/OBK/SCBLSG22XXX STAND ARD CHARTERED BANK (SINGAPORE) 8 MARINA BOULEVARD 27-01, MARINA</t>
  </si>
  <si>
    <t>RBC18075E9I8SNY8</t>
  </si>
  <si>
    <t>/REMI/ACCOUNT NUMBER 91170155 SORT CODE 401160 MICHAELIANA714 202 5071400177440 FT00280616331261/OCMT/GBP15929,88//BENM/GB30HBUK401 16091170155 Assam Place Limited Partnership/EXCH/000000000000//OR DP/JOHN MICHAELIAN 001010245746257 207 W 106TH ST APT 7A NEW YORK NY 1002/OBK/WFBIUS6SXXX WELLS FARGO BANK, N.A. 420 MONTGOMERY ST REET SAN FRANCISCO</t>
  </si>
  <si>
    <t>RBC18075IWI8Y0CK</t>
  </si>
  <si>
    <t>/REMI/TOMA TOMOV - FIRST RENT INSTALMENT . FT00280618911261 /INS/ UBBSBGSFXXX /INS/KREDBEBBXXX/OCMT/GBP10938,56// BENM/GB30HBUK40116091170155 Assam Place Limited Partnership/EXCH/ 000000000000//ORDP/FERT BUL AD BG80UBBS81551012983176 UL.KAP.NIKO LA ANDREEV 7 B 2 AP.14 S/OBK/UBBSBGSFXXX UNITED BULGARIAN BANK AD VITOSHA BLVD 89B MILLENNIUM CENTER SOFIA</t>
  </si>
  <si>
    <t>229149</t>
  </si>
  <si>
    <t>AIRBNB PAYMENTS UK CITIBANK IRE FIN S /SREF/229149</t>
  </si>
  <si>
    <t>XP33555904240406031020250717826185008</t>
  </si>
  <si>
    <t>Stripe Payments UK FP56G75045156138 /EREF/RFX5F8F5T-YONOX /ROC/RF-X5F8F5T1E7F9 /FPID/XP33555904240406031020250717826185008</t>
  </si>
  <si>
    <t>RF-X5F8F5T1E7F9</t>
  </si>
  <si>
    <t>17/07/2025</t>
  </si>
  <si>
    <t>RBC17075EAI4TCHU</t>
  </si>
  <si>
    <t>/REMI/EDUCATION ARYAA GIRISH SURADKAR 48809457 CHAPTER ALDGATE GB S17075ELI29MYP /INS/ICICINBBNRI/OCMT/GBP2647,14//BENM/91170155 AS SAM PLACE LIMITED PARTNERSHIP/EXCH/000000000000//ORDP/1/GIRISH AS ARAM SURADKAR 002001536037 2/C 117 HILTON TOWER MAHAKALI CA/OBK/I CICINBBNRI ICICI BANK LIMITED FLOOR 2, TRADE WORLD, KAMALA MILLS COMPOUND LOWER</t>
  </si>
  <si>
    <t>2000000015909438251020250715826309634</t>
  </si>
  <si>
    <t>TEE SHU ZHEN/ANG L FP56F62936790898 /EREF/0016OT2209159 /REMI//ROC/MB75259163896251///URI/ANG10.02A /ROC//ROC/MB75259163896 /FPID/2000000015909438251020250715826309634</t>
  </si>
  <si>
    <t>MB75259163896251//</t>
  </si>
  <si>
    <t>16/07/2025</t>
  </si>
  <si>
    <t>TW00000014164913581020250715826231470</t>
  </si>
  <si>
    <t>RAMSES SORIANO ALV FP56F65752116528 /EREF/2.1.7-Soriano /ROC/2.1.7-Soriano /FPID/TW00000014164913581020250715826231470</t>
  </si>
  <si>
    <t>RBC16075ELI1MHOL</t>
  </si>
  <si>
    <t>/REMI/PAYMENT INSTALMENT 1 - CHAPTER ALDGATE - FLAT 17.02 - ROOM A RBSDM2I33756159/OCMT/GBP14652,86//BENM/GB30HBUK40116091170155 A ssam Place Limited Partnership/EXCH/000000000000//ORDP/BELLO GUER RERO MARCELA IT76O0323901600100000179257 CORSO RE UMBERTO 31/OBK/ BCITITM3XXX INTESA SANPAOLO PRIVATE BANKING SPA VIA MELCHIORRE GI OIA 22 MILANO</t>
  </si>
  <si>
    <t>RBC16075KHI2EDTS</t>
  </si>
  <si>
    <t>/REMI/STUDENT ID 33453651 SAYHAN MUSHRIF TRAVEL FOR EDUCATION FEE S HOSTEL PET617127197/OCMT/GBP18437,45//BENM/GB30HBUK401160911701 55 Assam Place Limited Partnership/EXCH/000000000000//ORDP/SAJID HASAN MUSHRIF 50100596412561 309 MUJAVAR GALLI KAGAL KAGAL KAGA/ OBK/HDFCINBBXXX HDFC BANK LIMITED HDFC BANK HOUSE SENAPATI BAPAT MARG MUMBAI</t>
  </si>
  <si>
    <t>RBC16075E9I2I1FK</t>
  </si>
  <si>
    <t>/REMI/OVERSEAS EDUCATION PET628143197 /BNF/ SPECIAL INSTRUCTIONS KHANNA// BUILDING CHAPTER ALDGATE FLAT 4.//1.4 ROOM A ARYAAN KH ANNA PPT Z63//6/OCMT/GBP2668,16//BENM/GB30HBUK40116091170155 Ass am Place Limited Partnership/EXCH/000000000000//ORDP/PANKAJ KHANN A AAAPK4328F D 820 NEW FRIENDS COLONY SOUTH DELH I DELHI D/OBK/NI UM FOREX INDIA PVT LTD CUNNINGHAM CLASSIC, ,22 CUNNINGHAM RD , TA SKER TOWN, BAN</t>
  </si>
  <si>
    <t>RBC16075HTI2RZR4</t>
  </si>
  <si>
    <t>/REMI/OVERSEAS EDUCATION PET624532197 /BNF/ SURNAME KHANNA BUILDI NG CHAPT//ER ALDGATE FLAT 4.1.8 ROOM AARMAA//N KHANNA HULT INTERN ATIONAL BUSIN//E/OCMT/GBP2807,63//BENM/GB30HBUK40116091170155 Ass am Place Limited Partnership/EXCH/000000000000//ORDP/PANKAJ KHANN A AAAPK4328F D 820 NEW FRIENDS COLONY SOUTH DELH I DELHI D/OBK/NI UM FOREX INDIA PVT LTD CUNNINGHAM CLASSIC, ,22 CUNNINGHAM RD , TA SKER TOWN, BAN</t>
  </si>
  <si>
    <t>RP46799649942321001020250715826200026</t>
  </si>
  <si>
    <t>BHULLAR M FP56EC4857674384 /ROC/BHULLAR2A /FPID/RP46799649942321001020250715826200026</t>
  </si>
  <si>
    <t>BHULLAR2A</t>
  </si>
  <si>
    <t>15/07/2025</t>
  </si>
  <si>
    <t>XP59310433529993491020250715826185008</t>
  </si>
  <si>
    <t>Stripe Payments UK FP56E81344775575 /EREF/RFC0P5I7M-ADGFI /ROC/RF-C0P5I7M0W3U5 /FPID/XP59310433529993491020250715826185008</t>
  </si>
  <si>
    <t>RF-C0P5I7M0W3U5</t>
  </si>
  <si>
    <t>RBC15075IWHYWF28</t>
  </si>
  <si>
    <t>/REMI/CESARE RANCILIO APT 3.8 A CHAPTER ALDGATE PET560173196/OCMT /GBP12679,71//BENM/GB30HBUK40116091170155 Assam Place Limited Par tnership/EXCH/000000000000//ORDP/1/RANCILIO ISABELLE LOUISE CH260 8667007403571010 2/VIA SAN GIORGIO 16/OBK/EFGBCHZZXXX EFG BANK AG BLEICHERWEG 8 ZUERICH</t>
  </si>
  <si>
    <t>RBC15075IVHYZB7K</t>
  </si>
  <si>
    <t>/REMI/PAMENT FOR ACCOMODATION SOFYA DRACHKO-YERMOLENKO, ROOM 15.0 8 ACC INV. DD 14/07/2025 B185008347734678/OCMT/GBP30109,00//BENM/ GB30HBUK40116091170155 Assam Place Limited Partnership/EXCH/00000 0000000//ORDP/1/DRACHKO-IERMOLENKO YEVHENII UA5430046500000262060 82372601 2/NOVO-DAR/OBK/COSBUAUKXXX JOINT STOCK COMPANY 'STATE SA VINGS HOSPITALNA STREET, 12-G KYIV</t>
  </si>
  <si>
    <t>RBC14075EAHUT9Z6</t>
  </si>
  <si>
    <t>/REMI///2-B GUIZAR VALENCIA FTC9439478 01/OCMT/GBP7225,07//BENM/G B30HBUK40116091170155 Assam Place Limited Partnership/EXCH/000000 000000//ORDP/1/LOPEZ DIAZ BEATRIZ DEL ROCIO 050039009540 2/PLATER OS 179 Num. COL./OBK/INBUMXMMXXX BANCO INBURSA S.A. PASEO DE LA PALMAS 736 CIUDAD DE MEXICO</t>
  </si>
  <si>
    <t>14/07/2025</t>
  </si>
  <si>
    <t>RBC14075HAHUU24K</t>
  </si>
  <si>
    <t>/REMI/FTC9439476 01/OCMT/GBP7503,08//BENM/GB30HBUK40116091170155 Assam Place Limited Partnership/EXCH/000000000000//ORDP/1/LOPEZ D IAZ BEATRIZ DEL ROCIO 050039009540 2/PLATEROS 179 Num. COL./OBK/ INBUMXMMXXX BANCO INBURSA S.A. PASEO DE LA PALMAS 736 CIUDAD DE M EXICO</t>
  </si>
  <si>
    <t>RBC14075EAHVG474</t>
  </si>
  <si>
    <t>/REMI//URI/De Jorge 10.08-a///ROC/PGGP602163603828 PET572775195/O CMT/GBP9175,00//BENM/GB30HBUK40116091170155 Assam Place Limited P artnership/EXCH/000000000000//ORDP/1/IRENE CANO PIQUERO ES1901824 800540201559099 2/PADILLA 70 CHALET 8A 3/OBK/BBVAESMMXXX BANCO BI LBAO VIZCAYA ARGENTARIA S.A PZ DE SAN NICOLAS 4 BILBAO</t>
  </si>
  <si>
    <t>RBC14075EAHVXTA8</t>
  </si>
  <si>
    <t>/REMI/Yann Hinsche, Gold Studio, 40-11-60 FT00280485326261 /INS/C ECAESMMXXX/OCMT/GBP2067,01//BENM/GB30HBUK40116091170155 Assam Pla ce Limited Partnership/EXCH/000000000000//ORDP/Hinsche, Silke DE4 5160500004533500094 Am Sandwerder 35 14109 Berlin DE/OBK/WELADED1 PMB MITTELBRANDENBURGISCHE SPARKASSE SAARMUNDER STRASSE 61 POTSDA M</t>
  </si>
  <si>
    <t>361772</t>
  </si>
  <si>
    <t>AIRBNB PAYMENTS UK CITIBANK IRE FIN S /SREF/361772</t>
  </si>
  <si>
    <t>361773</t>
  </si>
  <si>
    <t>NO.3URAX6PTVX5A2VU BOOKING.COM BV /SREF/361773</t>
  </si>
  <si>
    <t>NO.3URAX6PTVX5A2VU</t>
  </si>
  <si>
    <t>RBH14075GTHMDQ0W</t>
  </si>
  <si>
    <t>/REMI/REF Evge 01.07 Refund to Evgeniya Pogib lova REF Evge 01.07 /DAS/REF:247677800324/OCMT/GBP12144,15//BENM/ AE340860000006089802145 Natalya Pogiblova/EXCH/000000000000//ORDP /Assam Place Limited Partnership he Gilbert, Greystar Ground Floo r ( We/OBK/HBUKGB4B HSBC UK BANK PLC 1 CENTENARY SQUARE BIRMINGHA M</t>
  </si>
  <si>
    <t>REF Evge 01.07</t>
  </si>
  <si>
    <t>RBH14075GTHMDW00</t>
  </si>
  <si>
    <t>/REMI/REF Medet 01.07 Refund to Medet Orken RE F Medet 01.07 /DAS/REF:123177801M57/OCMT/GBP175,00//BENM/KZ65722C 000057907793 orken medet/EXCH/000000000000//ORDP/Assam Place Limi ted Partnership he Gilbert, Greystar Ground Floor ( We/OBK/HBUKGB 4B HSBC UK BANK PLC 1 CENTENARY SQUARE BIRMINGHAM</t>
  </si>
  <si>
    <t>REF Medet 01.07</t>
  </si>
  <si>
    <t>RBC11075KHHKWFUR</t>
  </si>
  <si>
    <t>/REMI/DOWN PAYMENT SORT 40 11 60 ACCT 91170155 PERSONAL EXPENSES FROM RENE JESUS PRIETO OBREGON PET418731192/OCMT/GBP185,00//BENM/ GB30HBUK40116091170155 Assam Place Limited Partnership/EXCH/00000 0000000//ORDP/VANTAGE BANK TEXAS 1001892 45 NE LOOP 410 SAN ANTON IO, TX 78216/OBK/ZFNBUS55XXX ZIONS BANCORPORATION N.A. 3270 WEST 2200 SOUTH SALT LAKE CITY</t>
  </si>
  <si>
    <t>11/07/2025</t>
  </si>
  <si>
    <t>RBC11075KIHL2BY8</t>
  </si>
  <si>
    <t>/REMI/2.7-TEKMEN PET486142192/OCMT/GBP18855,00//BENM/GB30HBUK4011 6091170155 Assam Place Limited Partnership/EXCH/000000000000//ORD P/1/BULENT TEKMEN TR820013400000249692100018 2/KADIKOY FENERBAHCE MAH HA/OBK/DENITRISXXX DENIZBANK A.S. DENIZ TOWER BUYUKDERE CD 1 41 ISTANBUL</t>
  </si>
  <si>
    <t>RBC11075EAHM5EBK</t>
  </si>
  <si>
    <t>/REMI//RFB/SCHOOL EXPENSE BORA DEMIR TERZI ROOM 85-A GBS11075HSHM 5C1S/OCMT/GBP4510,00//BENM/GB30HBUK40116091170155 Assam Place Lim ited Partnership/EXCH/000000000000//ORDP/1/DAVIT CUKRAN TR2600062 00040400009083059 2/GOZTEPE MAH. MEHMET SEYDA/OBK/TGBATRISXXX TUR KIYE GARANTI BANKASI A.S. AYTAR CAD NO.2 LEVENT NISPETIYE MAH IST A</t>
  </si>
  <si>
    <t>SCHOOL EXPENSE B</t>
  </si>
  <si>
    <t>XP69960829100777571020250710826185008</t>
  </si>
  <si>
    <t>Stripe Payments UK FP56971112221120 /EREF/RFE3K2Q9C-0WT4F /ROC/RF-E3K2Q9C7L5D4 /FPID/XP69960829100777571020250710826185008</t>
  </si>
  <si>
    <t>RF-E3K2Q9C7L5D4</t>
  </si>
  <si>
    <t>10/07/2025</t>
  </si>
  <si>
    <t>97RYNRLDJ9EJRN3KW51020250710826041413</t>
  </si>
  <si>
    <t>Jasmin Koelbl-Vogt FP569J2339228604 /EREF/STARLING-97RYNRLDJ9EJRN3KW5 /ROC/HENRY FINN VOGTREN /FPID/97RYNRLDJ9EJRN3KW51020250710826041413</t>
  </si>
  <si>
    <t>HENRY FINN VOGTREN</t>
  </si>
  <si>
    <t>RBC10075IVHHR7NK</t>
  </si>
  <si>
    <t>/REMI/91170155 BHULLAR2A TRAVEL FOR EDUCATION FEES HOSTEL PET4813 62191/OCMT/GBP1673,57//BENM/GB30HBUK40116091170155 Assam Place Li mited Partnership/EXCH/000000000000//ORDP/MANMEET KAUR BHULLAR 50 100566694104 FLAT NO 504 SS ARCADE ROAD NO 3 TI/OBK/HDFCINBBXXX H DFC BANK LIMITED HDFC BANK HOUSE SENAPATI BAPAT MARG MUMBAI</t>
  </si>
  <si>
    <t>RBC10075HSHIMT34</t>
  </si>
  <si>
    <t>/REMI/PAYMENT FOR ACCOMMODATION INV ALG -00001400 DD 26/05/2025 FOR ANATOLIY PETUKHOV B185008346747475/OCMT/GBP74,00//BENM/GB30HB UK40116091170155 Assam Place Limited Partnership/EXCH/00000000000 0//ORDP/PETUKHOV ANATOLIY NIKOLAYEVICH 050101.KZ97601761300000522 7 KZ, G.ALMAT/OBK/HSBKKZKXXXX HALYK BANK OF KAZAKHSTAN ABAY AVE , 109 V ALMATY</t>
  </si>
  <si>
    <t>RBC10075E9HINAWW</t>
  </si>
  <si>
    <t>/REMI//RFB/FRAIS DE LOYER //SMIDI GHALI GBS10075H7HIALQ8 /INS/SOG EFRPPXXX/OCMT/GBP5328,69//BENM/GB30HBUK40116091170155 Assam Place Limited Partnership/EXCH/000000000000//ORDP/GHAZI ILHAM 02281000 0150002979687023 58 AV MOHAMED VI KM 10 LOT MACHRE/OBK/SGMBMAMCXX X SOCIETE GENERALE MAROCAINE DE BANQU 55 BOULEVARD ABDELMOUMEN CA SABLAN</t>
  </si>
  <si>
    <t>FRAIS DE LOYER /</t>
  </si>
  <si>
    <t>DF25190094709234001020250709826200000</t>
  </si>
  <si>
    <t>Dmitry Pavlov FP568H3759002627 /EREF/E250709FC7ZQLJ2 /REMI/Revolut Ltd /ROC/Valeriia 12.14 /FPID/DF25190094709234001020250709826200000</t>
  </si>
  <si>
    <t>Valeriia 12.14</t>
  </si>
  <si>
    <t>09/07/2025</t>
  </si>
  <si>
    <t>RBC09075KIHFBQWW</t>
  </si>
  <si>
    <t>/REMI/FAMILY SUPPORT ASHARAF A 964 FEES FOR 20252026 GBS09075IUHF BNEO/OCMT/GBP10963,43//BENM/GB30HBUK40116091170155 Assam Place Li mited Partnership/EXCH/000000000000//ORDP/ASMA BUSHRA ANWAR AE860 030000544312030001 PO BOX 52103 HR DEPT ABU DHA/OBK/ADCBAEAAXXX A BU DHABI COMMERCIAL BANK SALAM STREET ABU DHABI</t>
  </si>
  <si>
    <t>RBC09075JEHEFE81</t>
  </si>
  <si>
    <t>/REMI/RAIMONDI TROJA 9.1.4-A EPH2507080189926/OCMT/GBP3324,34//BE NM/GB30HBUK40116091170155 Assam Place Limited Partnership/EXCH/00 0000000000//ORDP/1/RAIMONDI GIORGIA IT50M0306234210000000213833 2 /VIA UGO MARCHESE 74 3/OBK/MEDBITMMXXX BANCA MEDIOLANUM PALAZZO M EUCCI VIA FRANCESCO SFORZA 3 BASIGLIO</t>
  </si>
  <si>
    <t>RBP09075IVHCC03M</t>
  </si>
  <si>
    <t>RUK250708-003114, CHARGE RE /REMI/REF ASSET 07.04 /BNF/RUK250708-003114, CHARGE RE //GBP, 1 85 DATED 15/04/2025/OCMT/EUR15,00//BENM/40190077916623 HSBC Bank PLC SCS Coll ACC/EXCH/1.1337287//TMS/2025-07-09T03:25:52 GMT/MID/ 1.15932265</t>
  </si>
  <si>
    <t>REF ASSET 07.04</t>
  </si>
  <si>
    <t>XP20421111650913831020250708826185008</t>
  </si>
  <si>
    <t>Stripe Payments UK FP56774700322075 /EREF/RFW2T6K8O-5SPLI /ROC/RF-W2T6K8O1R0S8 /FPID/XP20421111650913831020250708826185008</t>
  </si>
  <si>
    <t>RF-W2T6K8O1R0S8</t>
  </si>
  <si>
    <t>08/07/2025</t>
  </si>
  <si>
    <t>RBC08075KHHC6WG1</t>
  </si>
  <si>
    <t>/REMI/EDUCATION 250708151611 /INS/KKBKINBBCPC/OCMT/GBP19039,00//B ENM/GB30HBUK40116091170155 Assam Place Limited Partnership/EXCH/0 00000000000//ORDP/SUMIT JAIN 01720020001976 C23 3RD FLOOR GREEN PARK NEWDELHI INDIA/OBK/KKBKINBBXXX KOTAK MAHINDRA BANK LIMITED G BLOCK 27, C-27 MUMBAI</t>
  </si>
  <si>
    <t>XP78935274411079951020250707826185008</t>
  </si>
  <si>
    <t>Stripe Payments UK FP56671930230797 /EREF/RFV6E9M9R-SCSKX /ROC/RF-V6E9M9R3T0J1 /FPID/XP78935274411079951020250707826185008</t>
  </si>
  <si>
    <t>RF-V6E9M9R3T0J1</t>
  </si>
  <si>
    <t>07/07/2025</t>
  </si>
  <si>
    <t>483783</t>
  </si>
  <si>
    <t>NO.C4NTLQZZ7EMAPRN BOOKING.COM BV /SREF/483783</t>
  </si>
  <si>
    <t>NO.C4NTLQZZ7EMAPRN</t>
  </si>
  <si>
    <t>1355311392616070019020250706826402702</t>
  </si>
  <si>
    <t>MAHADIK A FP565F3129436687 /ROC/Aadvika Mahadik /FPID/1355311392616070019020250706826402702</t>
  </si>
  <si>
    <t>Aadvika Mahadik</t>
  </si>
  <si>
    <t>06/07/2025</t>
  </si>
  <si>
    <t>P7FERUO8EHPSWZD67J1020250706826040004</t>
  </si>
  <si>
    <t>Samuel Holdbrooke FP565J3849025800 /ROC/Afram 0.2.7-b /FPID/P7FERUO8EHPSWZD67J1020250706826040004</t>
  </si>
  <si>
    <t>Afram 0.2.7-b</t>
  </si>
  <si>
    <t>XP61392382406904671020250704826185008</t>
  </si>
  <si>
    <t>Stripe Payments UK FP56371838487437 /EREF/RFY2O4D4N-SA7UC /ROC/RF-Y2O4D4N6N4T2 /FPID/XP61392382406904671020250704826185008</t>
  </si>
  <si>
    <t>RF-Y2O4D4N6N4T2</t>
  </si>
  <si>
    <t>04/07/2025</t>
  </si>
  <si>
    <t>RBC04075HTGY6WOW</t>
  </si>
  <si>
    <t>/REMI//TXT:KURBATOV DMITRII ROOM NUMBER IS 1.2.5 /D-PI-DOB:19721 225 PET479429185 /INS/RZBAATWWXXX/OCMT/GBP16524,00//BENM/GB30HBUK 40116091170155 Assam Place Limited Partnership/EXCH/000000000000/ /ORDP/KURBATOVA SVETLANA GENNADYEVNA 2470081540790065 VIA IMPREIA 19 IT/MILA/OBK/ASHBAM22XXX ARDSHINBANK CJSC GRIGOR LUSAVORICH 13 YEREVAN</t>
  </si>
  <si>
    <t>RBC04075HAGYQAV6</t>
  </si>
  <si>
    <t>/REMI/THIO CHAPTER ALDGATE 17-A GBS04075KFGYQ3UO /ACC/HSBC UK/OCM T/GBP34799,04//BENM/GB30HBUK40116091170155 Assam Place Limited Pa rtnership/EXCH/000000000000//ORDP/NG KUI ING 7723173756 1005 LOWE R DELTA ROAD HEX 18-01 SINGAPORE 099309/OBK/UOVBSGSGXXX UNITED OV ERSEAS BANK LIMITED 80 RAFFLES PLACE UOB PLAZA SINGAPORE</t>
  </si>
  <si>
    <t>284879</t>
  </si>
  <si>
    <t>AIRBNB PAYMENTS UK CITIBANK IRE FIN S /SREF/284879</t>
  </si>
  <si>
    <t>XP02850815643785941020250703826185008</t>
  </si>
  <si>
    <t>Stripe Payments UK FP56273428867342 /EREF/RFP7J4Z2D-K6R7T /ROC/RF-P7J4Z2D4T9D9 /FPID/XP02850815643785941020250703826185008</t>
  </si>
  <si>
    <t>RF-P7J4Z2D4T9D9</t>
  </si>
  <si>
    <t>03/07/2025</t>
  </si>
  <si>
    <t>RBC03075HSGVW0ZL</t>
  </si>
  <si>
    <t>/REMI//URI/12.08-OUCHALAL///ROC/8072325070316097 OPF400324124/OCM T/GBP9870,72//BENM/40116091170155 Assam Place Limited Partnership /EXCH/000000000000//ORDP/1/RIGHT FORTUNE INTERNATIONAL CO., NRA80 7231200020732 1/LTD 2/41 DEVON/OBK/OCBCCNSHXXX OCBC BANK LIMITED OCBC TOWER 1155 YUANSHEN ROAD SHANGHAI</t>
  </si>
  <si>
    <t>XP98236194259466991020250702826185008</t>
  </si>
  <si>
    <t>Stripe Payments UK FP56173656765653 /EREF/RFR7O6F8J-2WWXR /ROC/RF-R7O6F8J2I1W8 /FPID/XP98236194259466991020250702826185008</t>
  </si>
  <si>
    <t>RF-R7O6F8J2I1W8</t>
  </si>
  <si>
    <t>02/07/2025</t>
  </si>
  <si>
    <t>RBC02075EKGRYN0H</t>
  </si>
  <si>
    <t>/REMI/PET570562183 /INS/YAPITRISFEX/OCMT/GBP185,00//BENM/GB30HBUK 40116091170155 Assam Place Limited Partnership/EXCH/000000000000/ /ORDP/1/NASSER SADID TR930006701000000022936014 2/YESILKOY MAH. E MRULLAH EFE/OBK/YAPITRISXXX YAPI VE KREDI BANKASI A.S. YAPI KREDI PLAZA, BLOK NO1 CAMLIK CAD, IC</t>
  </si>
  <si>
    <t>RBC02075KIGR6HS1</t>
  </si>
  <si>
    <t>/REMI/PAGO RESIDENCIA ESTUDIANTIL 250702013226/OCMT/GBP9970,00//B ENM/GB30HBUK40116091170155 Assam Place Limited Partnership/EXCH/0 00000000000//ORDP/MATOS VILLAVICENCIO HERNAN HENRY OS 19300909473 5100 CAR CALOS PETIRROJ/OBK/BCPLPEPLXXX BANCO DE CREDITO DEL PERU AV. JUAN DE ARONA 893 FLOOR 3, INTL.BANKING</t>
  </si>
  <si>
    <t>329091</t>
  </si>
  <si>
    <t>AIRBNB PAYMENTS UK CITIBANK IRE FIN S /SREF/329091</t>
  </si>
  <si>
    <t>5971205381711070019020250701826403804</t>
  </si>
  <si>
    <t>USECHE G FP560G2025170919 /ROC/USECHE16.05-A /FPID/5971205381711070019020250701826403804</t>
  </si>
  <si>
    <t>USECHE16.05-A</t>
  </si>
  <si>
    <t>01/07/2025</t>
  </si>
  <si>
    <t xml:space="preserve">Credit Amount </t>
  </si>
  <si>
    <t>Debit Amount</t>
  </si>
  <si>
    <t>CA + DA</t>
  </si>
  <si>
    <t>Opening Bal.</t>
  </si>
  <si>
    <t>CA + CD + OB</t>
  </si>
  <si>
    <t>OriginalTransactionId</t>
  </si>
  <si>
    <t>OriginalReconciliationId</t>
  </si>
  <si>
    <t>OriginalReconciliationMappingId</t>
  </si>
  <si>
    <t>GL code</t>
  </si>
  <si>
    <t>11021-000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</si>
</sst>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3" fillId="0" borderId="1" xfId="0" applyFont="1" applyBorder="1"/>
    <xf numFmtId="4" fontId="3" fillId="0" borderId="1" xfId="0" applyNumberFormat="1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4" fontId="2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E4D2-B518-4458-B9D7-02AB1A0050D3}">
  <dimension ref="A1:AJ170"/>
  <sheetViews>
    <sheetView tabSelected="1" workbookViewId="0">
      <selection activeCell="F163" sqref="F163"/>
    </sheetView>
  </sheetViews>
  <sheetFormatPr defaultRowHeight="14.25"/>
  <cols>
    <col min="1" max="3" width="13.375" customWidth="1"/>
    <col min="4" max="4" width="28.25" bestFit="1" customWidth="1"/>
    <col min="5" max="5" width="15.75" bestFit="1" customWidth="1"/>
    <col min="6" max="6" width="18" bestFit="1" customWidth="1"/>
    <col min="7" max="7" width="9.125" bestFit="1" customWidth="1"/>
    <col min="8" max="8" width="13.875" bestFit="1" customWidth="1"/>
    <col min="9" max="9" width="10.625" bestFit="1" customWidth="1"/>
    <col min="10" max="10" width="24.75" bestFit="1" customWidth="1"/>
    <col min="11" max="11" width="14.375" bestFit="1" customWidth="1"/>
    <col min="12" max="12" width="14.25" bestFit="1" customWidth="1"/>
    <col min="13" max="13" width="21" bestFit="1" customWidth="1"/>
    <col min="14" max="14" width="33.625" bestFit="1" customWidth="1"/>
    <col min="15" max="15" width="23.125" bestFit="1" customWidth="1"/>
    <col min="16" max="16" width="35.625" bestFit="1" customWidth="1"/>
    <col min="17" max="17" width="21.375" bestFit="1" customWidth="1"/>
    <col min="18" max="18" width="18.75" bestFit="1" customWidth="1"/>
    <col min="19" max="19" width="23.375" bestFit="1" customWidth="1"/>
    <col min="20" max="20" width="20.75" bestFit="1" customWidth="1"/>
    <col min="21" max="21" width="42.375" bestFit="1" customWidth="1"/>
    <col min="22" max="22" width="255.75" bestFit="1" customWidth="1"/>
    <col min="23" max="23" width="21.875" bestFit="1" customWidth="1"/>
    <col min="24" max="24" width="9.125" bestFit="1" customWidth="1"/>
    <col min="25" max="25" width="10.125" bestFit="1" customWidth="1"/>
    <col min="26" max="26" width="13.5" bestFit="1" customWidth="1"/>
    <col min="27" max="27" width="12.625" bestFit="1" customWidth="1"/>
    <col min="28" max="28" width="11.625" bestFit="1" customWidth="1"/>
    <col min="29" max="29" width="5.5" bestFit="1" customWidth="1"/>
    <col min="30" max="30" width="10.125" bestFit="1" customWidth="1"/>
    <col min="32" max="32" width="12.375" bestFit="1" customWidth="1"/>
    <col min="33" max="33" width="13.125" bestFit="1" customWidth="1"/>
    <col min="34" max="35" width="11.375" bestFit="1" customWidth="1"/>
    <col min="36" max="36" width="13.375" bestFit="1" customWidth="1"/>
  </cols>
  <sheetData>
    <row r="1" spans="1:36">
      <c r="A1" s="4" t="s">
        <v>453</v>
      </c>
      <c r="B1" s="4" t="s">
        <v>454</v>
      </c>
      <c r="C1" s="4" t="s">
        <v>455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456</v>
      </c>
    </row>
    <row r="2" spans="1:36">
      <c r="A2" s="4"/>
      <c r="B2" s="4"/>
      <c r="C2" s="4"/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  <c r="L2" s="6" t="s">
        <v>35</v>
      </c>
      <c r="M2" s="8">
        <v>2776035.44</v>
      </c>
      <c r="N2" s="6" t="s">
        <v>36</v>
      </c>
      <c r="O2" s="8">
        <v>2776035.44</v>
      </c>
      <c r="P2" s="6" t="s">
        <v>36</v>
      </c>
      <c r="Q2" s="8">
        <v>2782295.31</v>
      </c>
      <c r="R2" s="6" t="s">
        <v>37</v>
      </c>
      <c r="S2" s="8">
        <v>2782295.31</v>
      </c>
      <c r="T2" s="6" t="s">
        <v>37</v>
      </c>
      <c r="U2" s="6" t="s">
        <v>38</v>
      </c>
      <c r="V2" s="6" t="s">
        <v>39</v>
      </c>
      <c r="W2" s="6" t="s">
        <v>40</v>
      </c>
      <c r="X2" s="6" t="s">
        <v>41</v>
      </c>
      <c r="Y2" s="6" t="s">
        <v>36</v>
      </c>
      <c r="Z2" s="8">
        <v>14301.38</v>
      </c>
      <c r="AA2" s="9"/>
      <c r="AB2" s="8">
        <v>2776035.44</v>
      </c>
      <c r="AC2" s="6" t="s">
        <v>42</v>
      </c>
      <c r="AD2" s="6" t="s">
        <v>36</v>
      </c>
      <c r="AE2" s="6" t="s">
        <v>457</v>
      </c>
      <c r="AG2" s="1">
        <f>AB2-Z2</f>
        <v>2761734.06</v>
      </c>
    </row>
    <row r="3" spans="1:36">
      <c r="A3" s="4"/>
      <c r="B3" s="4"/>
      <c r="C3" s="4"/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8">
        <v>2776035.44</v>
      </c>
      <c r="N3" s="6" t="s">
        <v>36</v>
      </c>
      <c r="O3" s="8">
        <v>2776035.44</v>
      </c>
      <c r="P3" s="6" t="s">
        <v>36</v>
      </c>
      <c r="Q3" s="8">
        <v>2782295.31</v>
      </c>
      <c r="R3" s="6" t="s">
        <v>37</v>
      </c>
      <c r="S3" s="8">
        <v>2782295.31</v>
      </c>
      <c r="T3" s="6" t="s">
        <v>37</v>
      </c>
      <c r="U3" s="6" t="s">
        <v>43</v>
      </c>
      <c r="V3" s="6" t="s">
        <v>44</v>
      </c>
      <c r="W3" s="6" t="s">
        <v>45</v>
      </c>
      <c r="X3" s="6" t="s">
        <v>41</v>
      </c>
      <c r="Y3" s="6" t="s">
        <v>36</v>
      </c>
      <c r="Z3" s="8">
        <v>3503.25</v>
      </c>
      <c r="AA3" s="9"/>
      <c r="AB3" s="8">
        <v>2761734.06</v>
      </c>
      <c r="AC3" s="6" t="s">
        <v>42</v>
      </c>
      <c r="AD3" s="6" t="s">
        <v>36</v>
      </c>
      <c r="AE3" s="6" t="s">
        <v>457</v>
      </c>
    </row>
    <row r="4" spans="1:36" ht="15">
      <c r="A4" s="4"/>
      <c r="B4" s="4"/>
      <c r="C4" s="4"/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8">
        <v>2776035.44</v>
      </c>
      <c r="N4" s="6" t="s">
        <v>36</v>
      </c>
      <c r="O4" s="8">
        <v>2776035.44</v>
      </c>
      <c r="P4" s="6" t="s">
        <v>36</v>
      </c>
      <c r="Q4" s="8">
        <v>2782295.31</v>
      </c>
      <c r="R4" s="6" t="s">
        <v>37</v>
      </c>
      <c r="S4" s="8">
        <v>2782295.31</v>
      </c>
      <c r="T4" s="6" t="s">
        <v>37</v>
      </c>
      <c r="U4" s="6" t="s">
        <v>46</v>
      </c>
      <c r="V4" s="6" t="s">
        <v>47</v>
      </c>
      <c r="W4" s="6" t="s">
        <v>48</v>
      </c>
      <c r="X4" s="6" t="s">
        <v>49</v>
      </c>
      <c r="Y4" s="6" t="s">
        <v>36</v>
      </c>
      <c r="Z4" s="8">
        <v>10382.16</v>
      </c>
      <c r="AA4" s="9"/>
      <c r="AB4" s="8">
        <v>2758230.81</v>
      </c>
      <c r="AC4" s="6" t="s">
        <v>42</v>
      </c>
      <c r="AD4" s="6" t="s">
        <v>36</v>
      </c>
      <c r="AE4" s="6" t="s">
        <v>457</v>
      </c>
      <c r="AF4" s="2" t="s">
        <v>451</v>
      </c>
      <c r="AG4" s="2" t="s">
        <v>448</v>
      </c>
      <c r="AH4" s="2" t="s">
        <v>449</v>
      </c>
      <c r="AI4" s="2" t="s">
        <v>450</v>
      </c>
      <c r="AJ4" s="2" t="s">
        <v>452</v>
      </c>
    </row>
    <row r="5" spans="1:36" ht="15">
      <c r="A5" s="4"/>
      <c r="B5" s="4"/>
      <c r="C5" s="4"/>
      <c r="D5" s="6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6" t="s">
        <v>32</v>
      </c>
      <c r="J5" s="6" t="s">
        <v>33</v>
      </c>
      <c r="K5" s="6" t="s">
        <v>34</v>
      </c>
      <c r="L5" s="6" t="s">
        <v>35</v>
      </c>
      <c r="M5" s="8">
        <v>2776035.44</v>
      </c>
      <c r="N5" s="6" t="s">
        <v>36</v>
      </c>
      <c r="O5" s="8">
        <v>2776035.44</v>
      </c>
      <c r="P5" s="6" t="s">
        <v>36</v>
      </c>
      <c r="Q5" s="8">
        <v>2782295.31</v>
      </c>
      <c r="R5" s="6" t="s">
        <v>37</v>
      </c>
      <c r="S5" s="8">
        <v>2782295.31</v>
      </c>
      <c r="T5" s="6" t="s">
        <v>37</v>
      </c>
      <c r="U5" s="6" t="s">
        <v>50</v>
      </c>
      <c r="V5" s="6" t="s">
        <v>51</v>
      </c>
      <c r="W5" s="6" t="s">
        <v>48</v>
      </c>
      <c r="X5" s="6" t="s">
        <v>49</v>
      </c>
      <c r="Y5" s="6" t="s">
        <v>36</v>
      </c>
      <c r="Z5" s="8">
        <v>2941.72</v>
      </c>
      <c r="AA5" s="9"/>
      <c r="AB5" s="8">
        <v>2747848.65</v>
      </c>
      <c r="AC5" s="6" t="s">
        <v>42</v>
      </c>
      <c r="AD5" s="6" t="s">
        <v>36</v>
      </c>
      <c r="AE5" s="6" t="s">
        <v>457</v>
      </c>
      <c r="AF5" s="2">
        <v>1173480.68</v>
      </c>
      <c r="AG5" s="3">
        <f>SUM(Z2:Z162)</f>
        <v>1619581.7299999997</v>
      </c>
      <c r="AH5" s="2">
        <f>SUM(AA:AA)</f>
        <v>-17026.969999999998</v>
      </c>
      <c r="AI5" s="3">
        <f>AG5+AH5</f>
        <v>1602554.7599999998</v>
      </c>
      <c r="AJ5" s="3">
        <f>AI5+AF5</f>
        <v>2776035.4399999995</v>
      </c>
    </row>
    <row r="6" spans="1:36">
      <c r="A6" s="4"/>
      <c r="B6" s="4"/>
      <c r="C6" s="4"/>
      <c r="D6" s="6" t="s">
        <v>27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32</v>
      </c>
      <c r="J6" s="6" t="s">
        <v>33</v>
      </c>
      <c r="K6" s="6" t="s">
        <v>34</v>
      </c>
      <c r="L6" s="6" t="s">
        <v>35</v>
      </c>
      <c r="M6" s="8">
        <v>2776035.44</v>
      </c>
      <c r="N6" s="6" t="s">
        <v>36</v>
      </c>
      <c r="O6" s="8">
        <v>2776035.44</v>
      </c>
      <c r="P6" s="6" t="s">
        <v>36</v>
      </c>
      <c r="Q6" s="8">
        <v>2782295.31</v>
      </c>
      <c r="R6" s="6" t="s">
        <v>37</v>
      </c>
      <c r="S6" s="8">
        <v>2782295.31</v>
      </c>
      <c r="T6" s="6" t="s">
        <v>37</v>
      </c>
      <c r="U6" s="6" t="s">
        <v>52</v>
      </c>
      <c r="V6" s="6" t="s">
        <v>53</v>
      </c>
      <c r="W6" s="6" t="s">
        <v>48</v>
      </c>
      <c r="X6" s="6" t="s">
        <v>49</v>
      </c>
      <c r="Y6" s="6" t="s">
        <v>36</v>
      </c>
      <c r="Z6" s="8">
        <v>7900</v>
      </c>
      <c r="AA6" s="9"/>
      <c r="AB6" s="8">
        <v>2744906.93</v>
      </c>
      <c r="AC6" s="6" t="s">
        <v>42</v>
      </c>
      <c r="AD6" s="6" t="s">
        <v>36</v>
      </c>
      <c r="AE6" s="6" t="s">
        <v>457</v>
      </c>
    </row>
    <row r="7" spans="1:36">
      <c r="A7" s="4"/>
      <c r="B7" s="4"/>
      <c r="C7" s="4"/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32</v>
      </c>
      <c r="J7" s="6" t="s">
        <v>33</v>
      </c>
      <c r="K7" s="6" t="s">
        <v>34</v>
      </c>
      <c r="L7" s="6" t="s">
        <v>35</v>
      </c>
      <c r="M7" s="8">
        <v>2776035.44</v>
      </c>
      <c r="N7" s="6" t="s">
        <v>36</v>
      </c>
      <c r="O7" s="8">
        <v>2776035.44</v>
      </c>
      <c r="P7" s="6" t="s">
        <v>36</v>
      </c>
      <c r="Q7" s="8">
        <v>2782295.31</v>
      </c>
      <c r="R7" s="6" t="s">
        <v>37</v>
      </c>
      <c r="S7" s="8">
        <v>2782295.31</v>
      </c>
      <c r="T7" s="6" t="s">
        <v>37</v>
      </c>
      <c r="U7" s="6" t="s">
        <v>54</v>
      </c>
      <c r="V7" s="6" t="s">
        <v>55</v>
      </c>
      <c r="W7" s="6" t="s">
        <v>48</v>
      </c>
      <c r="X7" s="6" t="s">
        <v>49</v>
      </c>
      <c r="Y7" s="6" t="s">
        <v>36</v>
      </c>
      <c r="Z7" s="8">
        <v>25</v>
      </c>
      <c r="AA7" s="9"/>
      <c r="AB7" s="8">
        <v>2737006.93</v>
      </c>
      <c r="AC7" s="6" t="s">
        <v>42</v>
      </c>
      <c r="AD7" s="6" t="s">
        <v>36</v>
      </c>
      <c r="AE7" s="6" t="s">
        <v>457</v>
      </c>
    </row>
    <row r="8" spans="1:36">
      <c r="A8" s="4"/>
      <c r="B8" s="4"/>
      <c r="C8" s="4"/>
      <c r="D8" s="6" t="s">
        <v>27</v>
      </c>
      <c r="E8" s="6" t="s">
        <v>28</v>
      </c>
      <c r="F8" s="6" t="s">
        <v>29</v>
      </c>
      <c r="G8" s="6" t="s">
        <v>30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35</v>
      </c>
      <c r="M8" s="8">
        <v>2776035.44</v>
      </c>
      <c r="N8" s="6" t="s">
        <v>36</v>
      </c>
      <c r="O8" s="8">
        <v>2776035.44</v>
      </c>
      <c r="P8" s="6" t="s">
        <v>36</v>
      </c>
      <c r="Q8" s="8">
        <v>2782295.31</v>
      </c>
      <c r="R8" s="6" t="s">
        <v>37</v>
      </c>
      <c r="S8" s="8">
        <v>2782295.31</v>
      </c>
      <c r="T8" s="6" t="s">
        <v>37</v>
      </c>
      <c r="U8" s="6" t="s">
        <v>56</v>
      </c>
      <c r="V8" s="6" t="s">
        <v>57</v>
      </c>
      <c r="W8" s="6" t="s">
        <v>58</v>
      </c>
      <c r="X8" s="6" t="s">
        <v>49</v>
      </c>
      <c r="Y8" s="6" t="s">
        <v>36</v>
      </c>
      <c r="Z8" s="8">
        <v>13163.28</v>
      </c>
      <c r="AA8" s="9"/>
      <c r="AB8" s="8">
        <v>2736981.93</v>
      </c>
      <c r="AC8" s="6" t="s">
        <v>42</v>
      </c>
      <c r="AD8" s="6" t="s">
        <v>36</v>
      </c>
      <c r="AE8" s="6" t="s">
        <v>457</v>
      </c>
    </row>
    <row r="9" spans="1:36">
      <c r="A9" s="4"/>
      <c r="B9" s="4"/>
      <c r="C9" s="4"/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6" t="s">
        <v>35</v>
      </c>
      <c r="M9" s="8">
        <v>2776035.44</v>
      </c>
      <c r="N9" s="6" t="s">
        <v>36</v>
      </c>
      <c r="O9" s="8">
        <v>2776035.44</v>
      </c>
      <c r="P9" s="6" t="s">
        <v>36</v>
      </c>
      <c r="Q9" s="8">
        <v>2782295.31</v>
      </c>
      <c r="R9" s="6" t="s">
        <v>37</v>
      </c>
      <c r="S9" s="8">
        <v>2782295.31</v>
      </c>
      <c r="T9" s="6" t="s">
        <v>37</v>
      </c>
      <c r="U9" s="6" t="s">
        <v>59</v>
      </c>
      <c r="V9" s="6" t="s">
        <v>60</v>
      </c>
      <c r="W9" s="6" t="s">
        <v>48</v>
      </c>
      <c r="X9" s="6" t="s">
        <v>49</v>
      </c>
      <c r="Y9" s="6" t="s">
        <v>36</v>
      </c>
      <c r="Z9" s="8">
        <v>4397.3</v>
      </c>
      <c r="AA9" s="9"/>
      <c r="AB9" s="8">
        <v>2723818.65</v>
      </c>
      <c r="AC9" s="6" t="s">
        <v>42</v>
      </c>
      <c r="AD9" s="6" t="s">
        <v>36</v>
      </c>
      <c r="AE9" s="6" t="s">
        <v>457</v>
      </c>
    </row>
    <row r="10" spans="1:36">
      <c r="A10" s="4"/>
      <c r="B10" s="4"/>
      <c r="C10" s="4"/>
      <c r="D10" s="6" t="s">
        <v>27</v>
      </c>
      <c r="E10" s="6" t="s">
        <v>28</v>
      </c>
      <c r="F10" s="6" t="s">
        <v>29</v>
      </c>
      <c r="G10" s="6" t="s">
        <v>30</v>
      </c>
      <c r="H10" s="6" t="s">
        <v>31</v>
      </c>
      <c r="I10" s="6" t="s">
        <v>32</v>
      </c>
      <c r="J10" s="6" t="s">
        <v>33</v>
      </c>
      <c r="K10" s="6" t="s">
        <v>34</v>
      </c>
      <c r="L10" s="6" t="s">
        <v>35</v>
      </c>
      <c r="M10" s="8">
        <v>2776035.44</v>
      </c>
      <c r="N10" s="6" t="s">
        <v>36</v>
      </c>
      <c r="O10" s="8">
        <v>2776035.44</v>
      </c>
      <c r="P10" s="6" t="s">
        <v>36</v>
      </c>
      <c r="Q10" s="8">
        <v>2782295.31</v>
      </c>
      <c r="R10" s="6" t="s">
        <v>37</v>
      </c>
      <c r="S10" s="8">
        <v>2782295.31</v>
      </c>
      <c r="T10" s="6" t="s">
        <v>37</v>
      </c>
      <c r="U10" s="6" t="s">
        <v>61</v>
      </c>
      <c r="V10" s="6" t="s">
        <v>62</v>
      </c>
      <c r="W10" s="6" t="s">
        <v>48</v>
      </c>
      <c r="X10" s="6" t="s">
        <v>49</v>
      </c>
      <c r="Y10" s="6" t="s">
        <v>36</v>
      </c>
      <c r="Z10" s="8">
        <v>24164</v>
      </c>
      <c r="AA10" s="9"/>
      <c r="AB10" s="8">
        <v>2719421.35</v>
      </c>
      <c r="AC10" s="6" t="s">
        <v>42</v>
      </c>
      <c r="AD10" s="6" t="s">
        <v>36</v>
      </c>
      <c r="AE10" s="6" t="s">
        <v>457</v>
      </c>
    </row>
    <row r="11" spans="1:36">
      <c r="A11" s="4"/>
      <c r="B11" s="4"/>
      <c r="C11" s="4"/>
      <c r="D11" s="6" t="s">
        <v>27</v>
      </c>
      <c r="E11" s="6" t="s">
        <v>28</v>
      </c>
      <c r="F11" s="6" t="s">
        <v>29</v>
      </c>
      <c r="G11" s="6" t="s">
        <v>30</v>
      </c>
      <c r="H11" s="6" t="s">
        <v>31</v>
      </c>
      <c r="I11" s="6" t="s">
        <v>32</v>
      </c>
      <c r="J11" s="6" t="s">
        <v>33</v>
      </c>
      <c r="K11" s="6" t="s">
        <v>34</v>
      </c>
      <c r="L11" s="6" t="s">
        <v>35</v>
      </c>
      <c r="M11" s="8">
        <v>2776035.44</v>
      </c>
      <c r="N11" s="6" t="s">
        <v>36</v>
      </c>
      <c r="O11" s="8">
        <v>2776035.44</v>
      </c>
      <c r="P11" s="6" t="s">
        <v>36</v>
      </c>
      <c r="Q11" s="8">
        <v>2782295.31</v>
      </c>
      <c r="R11" s="6" t="s">
        <v>37</v>
      </c>
      <c r="S11" s="8">
        <v>2782295.31</v>
      </c>
      <c r="T11" s="6" t="s">
        <v>37</v>
      </c>
      <c r="U11" s="6" t="s">
        <v>63</v>
      </c>
      <c r="V11" s="6" t="s">
        <v>64</v>
      </c>
      <c r="W11" s="6" t="s">
        <v>48</v>
      </c>
      <c r="X11" s="6" t="s">
        <v>49</v>
      </c>
      <c r="Y11" s="6" t="s">
        <v>36</v>
      </c>
      <c r="Z11" s="8">
        <v>12905.84</v>
      </c>
      <c r="AA11" s="9"/>
      <c r="AB11" s="8">
        <v>2695257.35</v>
      </c>
      <c r="AC11" s="6" t="s">
        <v>42</v>
      </c>
      <c r="AD11" s="6" t="s">
        <v>36</v>
      </c>
      <c r="AE11" s="6" t="s">
        <v>457</v>
      </c>
    </row>
    <row r="12" spans="1:36">
      <c r="A12" s="4"/>
      <c r="B12" s="4"/>
      <c r="C12" s="4"/>
      <c r="D12" s="6" t="s">
        <v>27</v>
      </c>
      <c r="E12" s="6" t="s">
        <v>28</v>
      </c>
      <c r="F12" s="6" t="s">
        <v>29</v>
      </c>
      <c r="G12" s="6" t="s">
        <v>30</v>
      </c>
      <c r="H12" s="6" t="s">
        <v>31</v>
      </c>
      <c r="I12" s="6" t="s">
        <v>32</v>
      </c>
      <c r="J12" s="6" t="s">
        <v>33</v>
      </c>
      <c r="K12" s="6" t="s">
        <v>34</v>
      </c>
      <c r="L12" s="6" t="s">
        <v>35</v>
      </c>
      <c r="M12" s="8">
        <v>2776035.44</v>
      </c>
      <c r="N12" s="6" t="s">
        <v>36</v>
      </c>
      <c r="O12" s="8">
        <v>2776035.44</v>
      </c>
      <c r="P12" s="6" t="s">
        <v>36</v>
      </c>
      <c r="Q12" s="8">
        <v>2782295.31</v>
      </c>
      <c r="R12" s="6" t="s">
        <v>37</v>
      </c>
      <c r="S12" s="8">
        <v>2782295.31</v>
      </c>
      <c r="T12" s="6" t="s">
        <v>37</v>
      </c>
      <c r="U12" s="6" t="s">
        <v>65</v>
      </c>
      <c r="V12" s="6" t="s">
        <v>66</v>
      </c>
      <c r="W12" s="6" t="s">
        <v>67</v>
      </c>
      <c r="X12" s="6" t="s">
        <v>68</v>
      </c>
      <c r="Y12" s="6" t="s">
        <v>36</v>
      </c>
      <c r="Z12" s="8">
        <v>3109.14</v>
      </c>
      <c r="AA12" s="9"/>
      <c r="AB12" s="8">
        <v>2682351.5099999998</v>
      </c>
      <c r="AC12" s="6" t="s">
        <v>42</v>
      </c>
      <c r="AD12" s="6" t="s">
        <v>36</v>
      </c>
      <c r="AE12" s="6" t="s">
        <v>457</v>
      </c>
    </row>
    <row r="13" spans="1:36">
      <c r="A13" s="4"/>
      <c r="B13" s="4"/>
      <c r="C13" s="4"/>
      <c r="D13" s="6" t="s">
        <v>27</v>
      </c>
      <c r="E13" s="6" t="s">
        <v>28</v>
      </c>
      <c r="F13" s="6" t="s">
        <v>29</v>
      </c>
      <c r="G13" s="6" t="s">
        <v>30</v>
      </c>
      <c r="H13" s="6" t="s">
        <v>31</v>
      </c>
      <c r="I13" s="6" t="s">
        <v>32</v>
      </c>
      <c r="J13" s="6" t="s">
        <v>33</v>
      </c>
      <c r="K13" s="6" t="s">
        <v>34</v>
      </c>
      <c r="L13" s="6" t="s">
        <v>35</v>
      </c>
      <c r="M13" s="8">
        <v>2776035.44</v>
      </c>
      <c r="N13" s="6" t="s">
        <v>36</v>
      </c>
      <c r="O13" s="8">
        <v>2776035.44</v>
      </c>
      <c r="P13" s="6" t="s">
        <v>36</v>
      </c>
      <c r="Q13" s="8">
        <v>2782295.31</v>
      </c>
      <c r="R13" s="6" t="s">
        <v>37</v>
      </c>
      <c r="S13" s="8">
        <v>2782295.31</v>
      </c>
      <c r="T13" s="6" t="s">
        <v>37</v>
      </c>
      <c r="U13" s="6" t="s">
        <v>69</v>
      </c>
      <c r="V13" s="6" t="s">
        <v>70</v>
      </c>
      <c r="W13" s="6" t="s">
        <v>71</v>
      </c>
      <c r="X13" s="6" t="s">
        <v>49</v>
      </c>
      <c r="Y13" s="6" t="s">
        <v>36</v>
      </c>
      <c r="Z13" s="9"/>
      <c r="AA13" s="8">
        <v>-184.43</v>
      </c>
      <c r="AB13" s="8">
        <v>2679242.37</v>
      </c>
      <c r="AC13" s="6" t="s">
        <v>42</v>
      </c>
      <c r="AD13" s="6" t="s">
        <v>36</v>
      </c>
      <c r="AE13" s="6" t="s">
        <v>457</v>
      </c>
    </row>
    <row r="14" spans="1:36">
      <c r="A14" s="4"/>
      <c r="B14" s="4"/>
      <c r="C14" s="4"/>
      <c r="D14" s="6" t="s">
        <v>27</v>
      </c>
      <c r="E14" s="6" t="s">
        <v>28</v>
      </c>
      <c r="F14" s="6" t="s">
        <v>29</v>
      </c>
      <c r="G14" s="6" t="s">
        <v>30</v>
      </c>
      <c r="H14" s="6" t="s">
        <v>31</v>
      </c>
      <c r="I14" s="6" t="s">
        <v>32</v>
      </c>
      <c r="J14" s="6" t="s">
        <v>33</v>
      </c>
      <c r="K14" s="6" t="s">
        <v>34</v>
      </c>
      <c r="L14" s="6" t="s">
        <v>35</v>
      </c>
      <c r="M14" s="8">
        <v>2776035.44</v>
      </c>
      <c r="N14" s="6" t="s">
        <v>36</v>
      </c>
      <c r="O14" s="8">
        <v>2776035.44</v>
      </c>
      <c r="P14" s="6" t="s">
        <v>36</v>
      </c>
      <c r="Q14" s="8">
        <v>2782295.31</v>
      </c>
      <c r="R14" s="6" t="s">
        <v>37</v>
      </c>
      <c r="S14" s="8">
        <v>2782295.31</v>
      </c>
      <c r="T14" s="6" t="s">
        <v>37</v>
      </c>
      <c r="U14" s="6" t="s">
        <v>72</v>
      </c>
      <c r="V14" s="6" t="s">
        <v>73</v>
      </c>
      <c r="W14" s="6" t="s">
        <v>74</v>
      </c>
      <c r="X14" s="6" t="s">
        <v>49</v>
      </c>
      <c r="Y14" s="6" t="s">
        <v>36</v>
      </c>
      <c r="Z14" s="9"/>
      <c r="AA14" s="8">
        <v>-2050.14</v>
      </c>
      <c r="AB14" s="8">
        <v>2679426.7999999998</v>
      </c>
      <c r="AC14" s="6" t="s">
        <v>42</v>
      </c>
      <c r="AD14" s="6" t="s">
        <v>36</v>
      </c>
      <c r="AE14" s="6" t="s">
        <v>457</v>
      </c>
    </row>
    <row r="15" spans="1:36">
      <c r="A15" s="4"/>
      <c r="B15" s="4"/>
      <c r="C15" s="4"/>
      <c r="D15" s="6" t="s">
        <v>27</v>
      </c>
      <c r="E15" s="6" t="s">
        <v>28</v>
      </c>
      <c r="F15" s="6" t="s">
        <v>29</v>
      </c>
      <c r="G15" s="6" t="s">
        <v>30</v>
      </c>
      <c r="H15" s="6" t="s">
        <v>31</v>
      </c>
      <c r="I15" s="6" t="s">
        <v>32</v>
      </c>
      <c r="J15" s="6" t="s">
        <v>33</v>
      </c>
      <c r="K15" s="6" t="s">
        <v>34</v>
      </c>
      <c r="L15" s="6" t="s">
        <v>35</v>
      </c>
      <c r="M15" s="8">
        <v>2776035.44</v>
      </c>
      <c r="N15" s="6" t="s">
        <v>36</v>
      </c>
      <c r="O15" s="8">
        <v>2776035.44</v>
      </c>
      <c r="P15" s="6" t="s">
        <v>36</v>
      </c>
      <c r="Q15" s="8">
        <v>2782295.31</v>
      </c>
      <c r="R15" s="6" t="s">
        <v>37</v>
      </c>
      <c r="S15" s="8">
        <v>2782295.31</v>
      </c>
      <c r="T15" s="6" t="s">
        <v>37</v>
      </c>
      <c r="U15" s="6" t="s">
        <v>75</v>
      </c>
      <c r="V15" s="6" t="s">
        <v>76</v>
      </c>
      <c r="W15" s="6" t="s">
        <v>77</v>
      </c>
      <c r="X15" s="6" t="s">
        <v>41</v>
      </c>
      <c r="Y15" s="6" t="s">
        <v>36</v>
      </c>
      <c r="Z15" s="9"/>
      <c r="AA15" s="8">
        <v>-132.86000000000001</v>
      </c>
      <c r="AB15" s="8">
        <v>2681476.94</v>
      </c>
      <c r="AC15" s="6" t="s">
        <v>42</v>
      </c>
      <c r="AD15" s="6" t="s">
        <v>36</v>
      </c>
      <c r="AE15" s="6" t="s">
        <v>457</v>
      </c>
    </row>
    <row r="16" spans="1:36">
      <c r="A16" s="4"/>
      <c r="B16" s="4"/>
      <c r="C16" s="4"/>
      <c r="D16" s="6" t="s">
        <v>27</v>
      </c>
      <c r="E16" s="6" t="s">
        <v>28</v>
      </c>
      <c r="F16" s="6" t="s">
        <v>29</v>
      </c>
      <c r="G16" s="6" t="s">
        <v>30</v>
      </c>
      <c r="H16" s="6" t="s">
        <v>31</v>
      </c>
      <c r="I16" s="6" t="s">
        <v>32</v>
      </c>
      <c r="J16" s="6" t="s">
        <v>33</v>
      </c>
      <c r="K16" s="6" t="s">
        <v>34</v>
      </c>
      <c r="L16" s="6" t="s">
        <v>35</v>
      </c>
      <c r="M16" s="8">
        <v>2776035.44</v>
      </c>
      <c r="N16" s="6" t="s">
        <v>36</v>
      </c>
      <c r="O16" s="8">
        <v>2776035.44</v>
      </c>
      <c r="P16" s="6" t="s">
        <v>36</v>
      </c>
      <c r="Q16" s="8">
        <v>2782295.31</v>
      </c>
      <c r="R16" s="6" t="s">
        <v>37</v>
      </c>
      <c r="S16" s="8">
        <v>2782295.31</v>
      </c>
      <c r="T16" s="6" t="s">
        <v>37</v>
      </c>
      <c r="U16" s="6" t="s">
        <v>78</v>
      </c>
      <c r="V16" s="6" t="s">
        <v>79</v>
      </c>
      <c r="W16" s="6" t="s">
        <v>80</v>
      </c>
      <c r="X16" s="6" t="s">
        <v>68</v>
      </c>
      <c r="Y16" s="6" t="s">
        <v>36</v>
      </c>
      <c r="Z16" s="9"/>
      <c r="AA16" s="8">
        <v>-2000</v>
      </c>
      <c r="AB16" s="8">
        <v>2681609.7999999998</v>
      </c>
      <c r="AC16" s="6" t="s">
        <v>42</v>
      </c>
      <c r="AD16" s="6" t="s">
        <v>36</v>
      </c>
      <c r="AE16" s="6" t="s">
        <v>457</v>
      </c>
    </row>
    <row r="17" spans="1:31">
      <c r="A17" s="4"/>
      <c r="B17" s="4"/>
      <c r="C17" s="4"/>
      <c r="D17" s="6" t="s">
        <v>27</v>
      </c>
      <c r="E17" s="6" t="s">
        <v>28</v>
      </c>
      <c r="F17" s="6" t="s">
        <v>29</v>
      </c>
      <c r="G17" s="6" t="s">
        <v>30</v>
      </c>
      <c r="H17" s="6" t="s">
        <v>31</v>
      </c>
      <c r="I17" s="6" t="s">
        <v>32</v>
      </c>
      <c r="J17" s="6" t="s">
        <v>33</v>
      </c>
      <c r="K17" s="6" t="s">
        <v>34</v>
      </c>
      <c r="L17" s="6" t="s">
        <v>35</v>
      </c>
      <c r="M17" s="8">
        <v>2776035.44</v>
      </c>
      <c r="N17" s="6" t="s">
        <v>36</v>
      </c>
      <c r="O17" s="8">
        <v>2776035.44</v>
      </c>
      <c r="P17" s="6" t="s">
        <v>36</v>
      </c>
      <c r="Q17" s="8">
        <v>2782295.31</v>
      </c>
      <c r="R17" s="6" t="s">
        <v>37</v>
      </c>
      <c r="S17" s="8">
        <v>2782295.31</v>
      </c>
      <c r="T17" s="6" t="s">
        <v>37</v>
      </c>
      <c r="U17" s="6" t="s">
        <v>81</v>
      </c>
      <c r="V17" s="6" t="s">
        <v>82</v>
      </c>
      <c r="W17" s="6" t="s">
        <v>83</v>
      </c>
      <c r="X17" s="6" t="s">
        <v>41</v>
      </c>
      <c r="Y17" s="6" t="s">
        <v>84</v>
      </c>
      <c r="Z17" s="8">
        <v>3992.85</v>
      </c>
      <c r="AA17" s="9"/>
      <c r="AB17" s="8">
        <v>2683609.7999999998</v>
      </c>
      <c r="AC17" s="6" t="s">
        <v>42</v>
      </c>
      <c r="AD17" s="6" t="s">
        <v>84</v>
      </c>
      <c r="AE17" s="6" t="s">
        <v>457</v>
      </c>
    </row>
    <row r="18" spans="1:31">
      <c r="A18" s="4"/>
      <c r="B18" s="4"/>
      <c r="C18" s="4"/>
      <c r="D18" s="6" t="s">
        <v>27</v>
      </c>
      <c r="E18" s="6" t="s">
        <v>28</v>
      </c>
      <c r="F18" s="6" t="s">
        <v>29</v>
      </c>
      <c r="G18" s="6" t="s">
        <v>30</v>
      </c>
      <c r="H18" s="6" t="s">
        <v>31</v>
      </c>
      <c r="I18" s="6" t="s">
        <v>32</v>
      </c>
      <c r="J18" s="6" t="s">
        <v>33</v>
      </c>
      <c r="K18" s="6" t="s">
        <v>34</v>
      </c>
      <c r="L18" s="6" t="s">
        <v>35</v>
      </c>
      <c r="M18" s="8">
        <v>2776035.44</v>
      </c>
      <c r="N18" s="6" t="s">
        <v>36</v>
      </c>
      <c r="O18" s="8">
        <v>2776035.44</v>
      </c>
      <c r="P18" s="6" t="s">
        <v>36</v>
      </c>
      <c r="Q18" s="8">
        <v>2782295.31</v>
      </c>
      <c r="R18" s="6" t="s">
        <v>37</v>
      </c>
      <c r="S18" s="8">
        <v>2782295.31</v>
      </c>
      <c r="T18" s="6" t="s">
        <v>37</v>
      </c>
      <c r="U18" s="6" t="s">
        <v>85</v>
      </c>
      <c r="V18" s="6" t="s">
        <v>86</v>
      </c>
      <c r="W18" s="6" t="s">
        <v>48</v>
      </c>
      <c r="X18" s="6" t="s">
        <v>49</v>
      </c>
      <c r="Y18" s="6" t="s">
        <v>84</v>
      </c>
      <c r="Z18" s="8">
        <v>5152.58</v>
      </c>
      <c r="AA18" s="9"/>
      <c r="AB18" s="8">
        <v>2679616.9500000002</v>
      </c>
      <c r="AC18" s="6" t="s">
        <v>42</v>
      </c>
      <c r="AD18" s="6" t="s">
        <v>84</v>
      </c>
      <c r="AE18" s="6" t="s">
        <v>457</v>
      </c>
    </row>
    <row r="19" spans="1:31">
      <c r="A19" s="4"/>
      <c r="B19" s="4"/>
      <c r="C19" s="4"/>
      <c r="D19" s="6" t="s">
        <v>27</v>
      </c>
      <c r="E19" s="6" t="s">
        <v>28</v>
      </c>
      <c r="F19" s="6" t="s">
        <v>29</v>
      </c>
      <c r="G19" s="6" t="s">
        <v>30</v>
      </c>
      <c r="H19" s="6" t="s">
        <v>31</v>
      </c>
      <c r="I19" s="6" t="s">
        <v>32</v>
      </c>
      <c r="J19" s="6" t="s">
        <v>33</v>
      </c>
      <c r="K19" s="6" t="s">
        <v>34</v>
      </c>
      <c r="L19" s="6" t="s">
        <v>35</v>
      </c>
      <c r="M19" s="8">
        <v>2776035.44</v>
      </c>
      <c r="N19" s="6" t="s">
        <v>36</v>
      </c>
      <c r="O19" s="8">
        <v>2776035.44</v>
      </c>
      <c r="P19" s="6" t="s">
        <v>36</v>
      </c>
      <c r="Q19" s="8">
        <v>2782295.31</v>
      </c>
      <c r="R19" s="6" t="s">
        <v>37</v>
      </c>
      <c r="S19" s="8">
        <v>2782295.31</v>
      </c>
      <c r="T19" s="6" t="s">
        <v>37</v>
      </c>
      <c r="U19" s="6" t="s">
        <v>87</v>
      </c>
      <c r="V19" s="6" t="s">
        <v>88</v>
      </c>
      <c r="W19" s="6" t="s">
        <v>48</v>
      </c>
      <c r="X19" s="6" t="s">
        <v>49</v>
      </c>
      <c r="Y19" s="6" t="s">
        <v>84</v>
      </c>
      <c r="Z19" s="8">
        <v>8331.2800000000007</v>
      </c>
      <c r="AA19" s="9"/>
      <c r="AB19" s="8">
        <v>2674464.37</v>
      </c>
      <c r="AC19" s="6" t="s">
        <v>42</v>
      </c>
      <c r="AD19" s="6" t="s">
        <v>84</v>
      </c>
      <c r="AE19" s="6" t="s">
        <v>457</v>
      </c>
    </row>
    <row r="20" spans="1:31">
      <c r="A20" s="4"/>
      <c r="B20" s="4"/>
      <c r="C20" s="4"/>
      <c r="D20" s="6" t="s">
        <v>27</v>
      </c>
      <c r="E20" s="6" t="s">
        <v>28</v>
      </c>
      <c r="F20" s="6" t="s">
        <v>29</v>
      </c>
      <c r="G20" s="6" t="s">
        <v>30</v>
      </c>
      <c r="H20" s="6" t="s">
        <v>31</v>
      </c>
      <c r="I20" s="6" t="s">
        <v>32</v>
      </c>
      <c r="J20" s="6" t="s">
        <v>33</v>
      </c>
      <c r="K20" s="6" t="s">
        <v>34</v>
      </c>
      <c r="L20" s="6" t="s">
        <v>35</v>
      </c>
      <c r="M20" s="8">
        <v>2776035.44</v>
      </c>
      <c r="N20" s="6" t="s">
        <v>36</v>
      </c>
      <c r="O20" s="8">
        <v>2776035.44</v>
      </c>
      <c r="P20" s="6" t="s">
        <v>36</v>
      </c>
      <c r="Q20" s="8">
        <v>2782295.31</v>
      </c>
      <c r="R20" s="6" t="s">
        <v>37</v>
      </c>
      <c r="S20" s="8">
        <v>2782295.31</v>
      </c>
      <c r="T20" s="6" t="s">
        <v>37</v>
      </c>
      <c r="U20" s="6" t="s">
        <v>89</v>
      </c>
      <c r="V20" s="6" t="s">
        <v>90</v>
      </c>
      <c r="W20" s="6" t="s">
        <v>48</v>
      </c>
      <c r="X20" s="6" t="s">
        <v>49</v>
      </c>
      <c r="Y20" s="6" t="s">
        <v>84</v>
      </c>
      <c r="Z20" s="8">
        <v>13894.22</v>
      </c>
      <c r="AA20" s="9"/>
      <c r="AB20" s="8">
        <v>2666133.09</v>
      </c>
      <c r="AC20" s="6" t="s">
        <v>42</v>
      </c>
      <c r="AD20" s="6" t="s">
        <v>84</v>
      </c>
      <c r="AE20" s="6" t="s">
        <v>457</v>
      </c>
    </row>
    <row r="21" spans="1:31">
      <c r="A21" s="4"/>
      <c r="B21" s="4"/>
      <c r="C21" s="4"/>
      <c r="D21" s="6" t="s">
        <v>27</v>
      </c>
      <c r="E21" s="6" t="s">
        <v>28</v>
      </c>
      <c r="F21" s="6" t="s">
        <v>29</v>
      </c>
      <c r="G21" s="6" t="s">
        <v>30</v>
      </c>
      <c r="H21" s="6" t="s">
        <v>31</v>
      </c>
      <c r="I21" s="6" t="s">
        <v>32</v>
      </c>
      <c r="J21" s="6" t="s">
        <v>33</v>
      </c>
      <c r="K21" s="6" t="s">
        <v>34</v>
      </c>
      <c r="L21" s="6" t="s">
        <v>35</v>
      </c>
      <c r="M21" s="8">
        <v>2776035.44</v>
      </c>
      <c r="N21" s="6" t="s">
        <v>36</v>
      </c>
      <c r="O21" s="8">
        <v>2776035.44</v>
      </c>
      <c r="P21" s="6" t="s">
        <v>36</v>
      </c>
      <c r="Q21" s="8">
        <v>2782295.31</v>
      </c>
      <c r="R21" s="6" t="s">
        <v>37</v>
      </c>
      <c r="S21" s="8">
        <v>2782295.31</v>
      </c>
      <c r="T21" s="6" t="s">
        <v>37</v>
      </c>
      <c r="U21" s="6" t="s">
        <v>91</v>
      </c>
      <c r="V21" s="6" t="s">
        <v>92</v>
      </c>
      <c r="W21" s="6" t="s">
        <v>48</v>
      </c>
      <c r="X21" s="6" t="s">
        <v>49</v>
      </c>
      <c r="Y21" s="6" t="s">
        <v>84</v>
      </c>
      <c r="Z21" s="8">
        <v>3343.58</v>
      </c>
      <c r="AA21" s="9"/>
      <c r="AB21" s="8">
        <v>2652238.87</v>
      </c>
      <c r="AC21" s="6" t="s">
        <v>42</v>
      </c>
      <c r="AD21" s="6" t="s">
        <v>84</v>
      </c>
      <c r="AE21" s="6" t="s">
        <v>457</v>
      </c>
    </row>
    <row r="22" spans="1:31">
      <c r="A22" s="4"/>
      <c r="B22" s="4"/>
      <c r="C22" s="4"/>
      <c r="D22" s="6" t="s">
        <v>27</v>
      </c>
      <c r="E22" s="6" t="s">
        <v>28</v>
      </c>
      <c r="F22" s="6" t="s">
        <v>29</v>
      </c>
      <c r="G22" s="6" t="s">
        <v>30</v>
      </c>
      <c r="H22" s="6" t="s">
        <v>31</v>
      </c>
      <c r="I22" s="6" t="s">
        <v>32</v>
      </c>
      <c r="J22" s="6" t="s">
        <v>33</v>
      </c>
      <c r="K22" s="6" t="s">
        <v>34</v>
      </c>
      <c r="L22" s="6" t="s">
        <v>35</v>
      </c>
      <c r="M22" s="8">
        <v>2776035.44</v>
      </c>
      <c r="N22" s="6" t="s">
        <v>36</v>
      </c>
      <c r="O22" s="8">
        <v>2776035.44</v>
      </c>
      <c r="P22" s="6" t="s">
        <v>36</v>
      </c>
      <c r="Q22" s="8">
        <v>2782295.31</v>
      </c>
      <c r="R22" s="6" t="s">
        <v>37</v>
      </c>
      <c r="S22" s="8">
        <v>2782295.31</v>
      </c>
      <c r="T22" s="6" t="s">
        <v>37</v>
      </c>
      <c r="U22" s="6" t="s">
        <v>93</v>
      </c>
      <c r="V22" s="6" t="s">
        <v>94</v>
      </c>
      <c r="W22" s="6" t="s">
        <v>48</v>
      </c>
      <c r="X22" s="6" t="s">
        <v>49</v>
      </c>
      <c r="Y22" s="6" t="s">
        <v>84</v>
      </c>
      <c r="Z22" s="8">
        <v>4961.99</v>
      </c>
      <c r="AA22" s="9"/>
      <c r="AB22" s="8">
        <v>2648895.29</v>
      </c>
      <c r="AC22" s="6" t="s">
        <v>42</v>
      </c>
      <c r="AD22" s="6" t="s">
        <v>84</v>
      </c>
      <c r="AE22" s="6" t="s">
        <v>457</v>
      </c>
    </row>
    <row r="23" spans="1:31">
      <c r="A23" s="4"/>
      <c r="B23" s="4"/>
      <c r="C23" s="4"/>
      <c r="D23" s="6" t="s">
        <v>27</v>
      </c>
      <c r="E23" s="6" t="s">
        <v>28</v>
      </c>
      <c r="F23" s="6" t="s">
        <v>29</v>
      </c>
      <c r="G23" s="6" t="s">
        <v>30</v>
      </c>
      <c r="H23" s="6" t="s">
        <v>31</v>
      </c>
      <c r="I23" s="6" t="s">
        <v>32</v>
      </c>
      <c r="J23" s="6" t="s">
        <v>33</v>
      </c>
      <c r="K23" s="6" t="s">
        <v>34</v>
      </c>
      <c r="L23" s="6" t="s">
        <v>35</v>
      </c>
      <c r="M23" s="8">
        <v>2776035.44</v>
      </c>
      <c r="N23" s="6" t="s">
        <v>36</v>
      </c>
      <c r="O23" s="8">
        <v>2776035.44</v>
      </c>
      <c r="P23" s="6" t="s">
        <v>36</v>
      </c>
      <c r="Q23" s="8">
        <v>2782295.31</v>
      </c>
      <c r="R23" s="6" t="s">
        <v>37</v>
      </c>
      <c r="S23" s="8">
        <v>2782295.31</v>
      </c>
      <c r="T23" s="6" t="s">
        <v>37</v>
      </c>
      <c r="U23" s="6" t="s">
        <v>95</v>
      </c>
      <c r="V23" s="6" t="s">
        <v>96</v>
      </c>
      <c r="W23" s="6" t="s">
        <v>48</v>
      </c>
      <c r="X23" s="6" t="s">
        <v>49</v>
      </c>
      <c r="Y23" s="6" t="s">
        <v>84</v>
      </c>
      <c r="Z23" s="8">
        <v>5421.16</v>
      </c>
      <c r="AA23" s="9"/>
      <c r="AB23" s="8">
        <v>2643933.2999999998</v>
      </c>
      <c r="AC23" s="6" t="s">
        <v>42</v>
      </c>
      <c r="AD23" s="6" t="s">
        <v>84</v>
      </c>
      <c r="AE23" s="6" t="s">
        <v>457</v>
      </c>
    </row>
    <row r="24" spans="1:31">
      <c r="A24" s="4"/>
      <c r="B24" s="4"/>
      <c r="C24" s="4"/>
      <c r="D24" s="6" t="s">
        <v>27</v>
      </c>
      <c r="E24" s="6" t="s">
        <v>28</v>
      </c>
      <c r="F24" s="6" t="s">
        <v>29</v>
      </c>
      <c r="G24" s="6" t="s">
        <v>30</v>
      </c>
      <c r="H24" s="6" t="s">
        <v>31</v>
      </c>
      <c r="I24" s="6" t="s">
        <v>32</v>
      </c>
      <c r="J24" s="6" t="s">
        <v>33</v>
      </c>
      <c r="K24" s="6" t="s">
        <v>34</v>
      </c>
      <c r="L24" s="6" t="s">
        <v>35</v>
      </c>
      <c r="M24" s="8">
        <v>2776035.44</v>
      </c>
      <c r="N24" s="6" t="s">
        <v>36</v>
      </c>
      <c r="O24" s="8">
        <v>2776035.44</v>
      </c>
      <c r="P24" s="6" t="s">
        <v>36</v>
      </c>
      <c r="Q24" s="8">
        <v>2782295.31</v>
      </c>
      <c r="R24" s="6" t="s">
        <v>37</v>
      </c>
      <c r="S24" s="8">
        <v>2782295.31</v>
      </c>
      <c r="T24" s="6" t="s">
        <v>37</v>
      </c>
      <c r="U24" s="6" t="s">
        <v>97</v>
      </c>
      <c r="V24" s="6" t="s">
        <v>98</v>
      </c>
      <c r="W24" s="6" t="s">
        <v>48</v>
      </c>
      <c r="X24" s="6" t="s">
        <v>49</v>
      </c>
      <c r="Y24" s="6" t="s">
        <v>84</v>
      </c>
      <c r="Z24" s="8">
        <v>25967.279999999999</v>
      </c>
      <c r="AA24" s="9"/>
      <c r="AB24" s="8">
        <v>2638512.14</v>
      </c>
      <c r="AC24" s="6" t="s">
        <v>42</v>
      </c>
      <c r="AD24" s="6" t="s">
        <v>84</v>
      </c>
      <c r="AE24" s="6" t="s">
        <v>457</v>
      </c>
    </row>
    <row r="25" spans="1:31">
      <c r="A25" s="4"/>
      <c r="B25" s="4"/>
      <c r="C25" s="4"/>
      <c r="D25" s="6" t="s">
        <v>27</v>
      </c>
      <c r="E25" s="6" t="s">
        <v>28</v>
      </c>
      <c r="F25" s="6" t="s">
        <v>29</v>
      </c>
      <c r="G25" s="6" t="s">
        <v>30</v>
      </c>
      <c r="H25" s="6" t="s">
        <v>31</v>
      </c>
      <c r="I25" s="6" t="s">
        <v>32</v>
      </c>
      <c r="J25" s="6" t="s">
        <v>33</v>
      </c>
      <c r="K25" s="6" t="s">
        <v>34</v>
      </c>
      <c r="L25" s="6" t="s">
        <v>35</v>
      </c>
      <c r="M25" s="8">
        <v>2776035.44</v>
      </c>
      <c r="N25" s="6" t="s">
        <v>36</v>
      </c>
      <c r="O25" s="8">
        <v>2776035.44</v>
      </c>
      <c r="P25" s="6" t="s">
        <v>36</v>
      </c>
      <c r="Q25" s="8">
        <v>2782295.31</v>
      </c>
      <c r="R25" s="6" t="s">
        <v>37</v>
      </c>
      <c r="S25" s="8">
        <v>2782295.31</v>
      </c>
      <c r="T25" s="6" t="s">
        <v>37</v>
      </c>
      <c r="U25" s="6" t="s">
        <v>99</v>
      </c>
      <c r="V25" s="6" t="s">
        <v>100</v>
      </c>
      <c r="W25" s="6" t="s">
        <v>48</v>
      </c>
      <c r="X25" s="6" t="s">
        <v>49</v>
      </c>
      <c r="Y25" s="6" t="s">
        <v>84</v>
      </c>
      <c r="Z25" s="8">
        <v>9917</v>
      </c>
      <c r="AA25" s="9"/>
      <c r="AB25" s="8">
        <v>2612544.86</v>
      </c>
      <c r="AC25" s="6" t="s">
        <v>42</v>
      </c>
      <c r="AD25" s="6" t="s">
        <v>84</v>
      </c>
      <c r="AE25" s="6" t="s">
        <v>457</v>
      </c>
    </row>
    <row r="26" spans="1:31">
      <c r="A26" s="4"/>
      <c r="B26" s="4"/>
      <c r="C26" s="4"/>
      <c r="D26" s="6" t="s">
        <v>27</v>
      </c>
      <c r="E26" s="6" t="s">
        <v>28</v>
      </c>
      <c r="F26" s="6" t="s">
        <v>29</v>
      </c>
      <c r="G26" s="6" t="s">
        <v>30</v>
      </c>
      <c r="H26" s="6" t="s">
        <v>31</v>
      </c>
      <c r="I26" s="6" t="s">
        <v>32</v>
      </c>
      <c r="J26" s="6" t="s">
        <v>33</v>
      </c>
      <c r="K26" s="6" t="s">
        <v>34</v>
      </c>
      <c r="L26" s="6" t="s">
        <v>35</v>
      </c>
      <c r="M26" s="8">
        <v>2776035.44</v>
      </c>
      <c r="N26" s="6" t="s">
        <v>36</v>
      </c>
      <c r="O26" s="8">
        <v>2776035.44</v>
      </c>
      <c r="P26" s="6" t="s">
        <v>36</v>
      </c>
      <c r="Q26" s="8">
        <v>2782295.31</v>
      </c>
      <c r="R26" s="6" t="s">
        <v>37</v>
      </c>
      <c r="S26" s="8">
        <v>2782295.31</v>
      </c>
      <c r="T26" s="6" t="s">
        <v>37</v>
      </c>
      <c r="U26" s="6" t="s">
        <v>101</v>
      </c>
      <c r="V26" s="6" t="s">
        <v>102</v>
      </c>
      <c r="W26" s="6" t="s">
        <v>48</v>
      </c>
      <c r="X26" s="6" t="s">
        <v>49</v>
      </c>
      <c r="Y26" s="6" t="s">
        <v>84</v>
      </c>
      <c r="Z26" s="8">
        <v>8060.72</v>
      </c>
      <c r="AA26" s="9"/>
      <c r="AB26" s="8">
        <v>2602627.86</v>
      </c>
      <c r="AC26" s="6" t="s">
        <v>42</v>
      </c>
      <c r="AD26" s="6" t="s">
        <v>84</v>
      </c>
      <c r="AE26" s="6" t="s">
        <v>457</v>
      </c>
    </row>
    <row r="27" spans="1:31">
      <c r="A27" s="4"/>
      <c r="B27" s="4"/>
      <c r="C27" s="4"/>
      <c r="D27" s="6" t="s">
        <v>27</v>
      </c>
      <c r="E27" s="6" t="s">
        <v>28</v>
      </c>
      <c r="F27" s="6" t="s">
        <v>29</v>
      </c>
      <c r="G27" s="6" t="s">
        <v>30</v>
      </c>
      <c r="H27" s="6" t="s">
        <v>31</v>
      </c>
      <c r="I27" s="6" t="s">
        <v>32</v>
      </c>
      <c r="J27" s="6" t="s">
        <v>33</v>
      </c>
      <c r="K27" s="6" t="s">
        <v>34</v>
      </c>
      <c r="L27" s="6" t="s">
        <v>35</v>
      </c>
      <c r="M27" s="8">
        <v>2776035.44</v>
      </c>
      <c r="N27" s="6" t="s">
        <v>36</v>
      </c>
      <c r="O27" s="8">
        <v>2776035.44</v>
      </c>
      <c r="P27" s="6" t="s">
        <v>36</v>
      </c>
      <c r="Q27" s="8">
        <v>2782295.31</v>
      </c>
      <c r="R27" s="6" t="s">
        <v>37</v>
      </c>
      <c r="S27" s="8">
        <v>2782295.31</v>
      </c>
      <c r="T27" s="6" t="s">
        <v>37</v>
      </c>
      <c r="U27" s="6" t="s">
        <v>103</v>
      </c>
      <c r="V27" s="6" t="s">
        <v>104</v>
      </c>
      <c r="W27" s="6" t="s">
        <v>48</v>
      </c>
      <c r="X27" s="6" t="s">
        <v>49</v>
      </c>
      <c r="Y27" s="6" t="s">
        <v>84</v>
      </c>
      <c r="Z27" s="8">
        <v>10446.290000000001</v>
      </c>
      <c r="AA27" s="9"/>
      <c r="AB27" s="8">
        <v>2594567.14</v>
      </c>
      <c r="AC27" s="6" t="s">
        <v>42</v>
      </c>
      <c r="AD27" s="6" t="s">
        <v>84</v>
      </c>
      <c r="AE27" s="6" t="s">
        <v>457</v>
      </c>
    </row>
    <row r="28" spans="1:31">
      <c r="A28" s="4"/>
      <c r="B28" s="4"/>
      <c r="C28" s="4"/>
      <c r="D28" s="6" t="s">
        <v>27</v>
      </c>
      <c r="E28" s="6" t="s">
        <v>28</v>
      </c>
      <c r="F28" s="6" t="s">
        <v>29</v>
      </c>
      <c r="G28" s="6" t="s">
        <v>30</v>
      </c>
      <c r="H28" s="6" t="s">
        <v>31</v>
      </c>
      <c r="I28" s="6" t="s">
        <v>32</v>
      </c>
      <c r="J28" s="6" t="s">
        <v>33</v>
      </c>
      <c r="K28" s="6" t="s">
        <v>34</v>
      </c>
      <c r="L28" s="6" t="s">
        <v>35</v>
      </c>
      <c r="M28" s="8">
        <v>2776035.44</v>
      </c>
      <c r="N28" s="6" t="s">
        <v>36</v>
      </c>
      <c r="O28" s="8">
        <v>2776035.44</v>
      </c>
      <c r="P28" s="6" t="s">
        <v>36</v>
      </c>
      <c r="Q28" s="8">
        <v>2782295.31</v>
      </c>
      <c r="R28" s="6" t="s">
        <v>37</v>
      </c>
      <c r="S28" s="8">
        <v>2782295.31</v>
      </c>
      <c r="T28" s="6" t="s">
        <v>37</v>
      </c>
      <c r="U28" s="6" t="s">
        <v>105</v>
      </c>
      <c r="V28" s="6" t="s">
        <v>106</v>
      </c>
      <c r="W28" s="6" t="s">
        <v>48</v>
      </c>
      <c r="X28" s="6" t="s">
        <v>49</v>
      </c>
      <c r="Y28" s="6" t="s">
        <v>84</v>
      </c>
      <c r="Z28" s="8">
        <v>5655.16</v>
      </c>
      <c r="AA28" s="9"/>
      <c r="AB28" s="8">
        <v>2584120.85</v>
      </c>
      <c r="AC28" s="6" t="s">
        <v>42</v>
      </c>
      <c r="AD28" s="6" t="s">
        <v>84</v>
      </c>
      <c r="AE28" s="6" t="s">
        <v>457</v>
      </c>
    </row>
    <row r="29" spans="1:31">
      <c r="A29" s="4"/>
      <c r="B29" s="4"/>
      <c r="C29" s="4"/>
      <c r="D29" s="6" t="s">
        <v>27</v>
      </c>
      <c r="E29" s="6" t="s">
        <v>28</v>
      </c>
      <c r="F29" s="6" t="s">
        <v>29</v>
      </c>
      <c r="G29" s="6" t="s">
        <v>30</v>
      </c>
      <c r="H29" s="6" t="s">
        <v>31</v>
      </c>
      <c r="I29" s="6" t="s">
        <v>32</v>
      </c>
      <c r="J29" s="6" t="s">
        <v>33</v>
      </c>
      <c r="K29" s="6" t="s">
        <v>34</v>
      </c>
      <c r="L29" s="6" t="s">
        <v>35</v>
      </c>
      <c r="M29" s="8">
        <v>2776035.44</v>
      </c>
      <c r="N29" s="6" t="s">
        <v>36</v>
      </c>
      <c r="O29" s="8">
        <v>2776035.44</v>
      </c>
      <c r="P29" s="6" t="s">
        <v>36</v>
      </c>
      <c r="Q29" s="8">
        <v>2782295.31</v>
      </c>
      <c r="R29" s="6" t="s">
        <v>37</v>
      </c>
      <c r="S29" s="8">
        <v>2782295.31</v>
      </c>
      <c r="T29" s="6" t="s">
        <v>37</v>
      </c>
      <c r="U29" s="6" t="s">
        <v>107</v>
      </c>
      <c r="V29" s="6" t="s">
        <v>108</v>
      </c>
      <c r="W29" s="6" t="s">
        <v>48</v>
      </c>
      <c r="X29" s="6" t="s">
        <v>49</v>
      </c>
      <c r="Y29" s="6" t="s">
        <v>84</v>
      </c>
      <c r="Z29" s="8">
        <v>32.35</v>
      </c>
      <c r="AA29" s="9"/>
      <c r="AB29" s="8">
        <v>2578465.69</v>
      </c>
      <c r="AC29" s="6" t="s">
        <v>42</v>
      </c>
      <c r="AD29" s="6" t="s">
        <v>84</v>
      </c>
      <c r="AE29" s="6" t="s">
        <v>457</v>
      </c>
    </row>
    <row r="30" spans="1:31">
      <c r="A30" s="4"/>
      <c r="B30" s="4"/>
      <c r="C30" s="4"/>
      <c r="D30" s="6" t="s">
        <v>27</v>
      </c>
      <c r="E30" s="6" t="s">
        <v>28</v>
      </c>
      <c r="F30" s="6" t="s">
        <v>29</v>
      </c>
      <c r="G30" s="6" t="s">
        <v>30</v>
      </c>
      <c r="H30" s="6" t="s">
        <v>31</v>
      </c>
      <c r="I30" s="6" t="s">
        <v>32</v>
      </c>
      <c r="J30" s="6" t="s">
        <v>33</v>
      </c>
      <c r="K30" s="6" t="s">
        <v>34</v>
      </c>
      <c r="L30" s="6" t="s">
        <v>35</v>
      </c>
      <c r="M30" s="8">
        <v>2776035.44</v>
      </c>
      <c r="N30" s="6" t="s">
        <v>36</v>
      </c>
      <c r="O30" s="8">
        <v>2776035.44</v>
      </c>
      <c r="P30" s="6" t="s">
        <v>36</v>
      </c>
      <c r="Q30" s="8">
        <v>2782295.31</v>
      </c>
      <c r="R30" s="6" t="s">
        <v>37</v>
      </c>
      <c r="S30" s="8">
        <v>2782295.31</v>
      </c>
      <c r="T30" s="6" t="s">
        <v>37</v>
      </c>
      <c r="U30" s="6" t="s">
        <v>109</v>
      </c>
      <c r="V30" s="6" t="s">
        <v>110</v>
      </c>
      <c r="W30" s="6" t="s">
        <v>67</v>
      </c>
      <c r="X30" s="6" t="s">
        <v>68</v>
      </c>
      <c r="Y30" s="6" t="s">
        <v>84</v>
      </c>
      <c r="Z30" s="8">
        <v>52.14</v>
      </c>
      <c r="AA30" s="9"/>
      <c r="AB30" s="8">
        <v>2578433.34</v>
      </c>
      <c r="AC30" s="6" t="s">
        <v>42</v>
      </c>
      <c r="AD30" s="6" t="s">
        <v>84</v>
      </c>
      <c r="AE30" s="6" t="s">
        <v>457</v>
      </c>
    </row>
    <row r="31" spans="1:31">
      <c r="A31" s="4"/>
      <c r="B31" s="4"/>
      <c r="C31" s="4"/>
      <c r="D31" s="6" t="s">
        <v>27</v>
      </c>
      <c r="E31" s="6" t="s">
        <v>28</v>
      </c>
      <c r="F31" s="6" t="s">
        <v>29</v>
      </c>
      <c r="G31" s="6" t="s">
        <v>30</v>
      </c>
      <c r="H31" s="6" t="s">
        <v>31</v>
      </c>
      <c r="I31" s="6" t="s">
        <v>32</v>
      </c>
      <c r="J31" s="6" t="s">
        <v>33</v>
      </c>
      <c r="K31" s="6" t="s">
        <v>34</v>
      </c>
      <c r="L31" s="6" t="s">
        <v>35</v>
      </c>
      <c r="M31" s="8">
        <v>2776035.44</v>
      </c>
      <c r="N31" s="6" t="s">
        <v>36</v>
      </c>
      <c r="O31" s="8">
        <v>2776035.44</v>
      </c>
      <c r="P31" s="6" t="s">
        <v>36</v>
      </c>
      <c r="Q31" s="8">
        <v>2782295.31</v>
      </c>
      <c r="R31" s="6" t="s">
        <v>37</v>
      </c>
      <c r="S31" s="8">
        <v>2782295.31</v>
      </c>
      <c r="T31" s="6" t="s">
        <v>37</v>
      </c>
      <c r="U31" s="6" t="s">
        <v>111</v>
      </c>
      <c r="V31" s="6" t="s">
        <v>112</v>
      </c>
      <c r="W31" s="6" t="s">
        <v>67</v>
      </c>
      <c r="X31" s="6" t="s">
        <v>68</v>
      </c>
      <c r="Y31" s="6" t="s">
        <v>84</v>
      </c>
      <c r="Z31" s="8">
        <v>1522.77</v>
      </c>
      <c r="AA31" s="9"/>
      <c r="AB31" s="8">
        <v>2578381.2000000002</v>
      </c>
      <c r="AC31" s="6" t="s">
        <v>42</v>
      </c>
      <c r="AD31" s="6" t="s">
        <v>84</v>
      </c>
      <c r="AE31" s="6" t="s">
        <v>457</v>
      </c>
    </row>
    <row r="32" spans="1:31">
      <c r="A32" s="4"/>
      <c r="B32" s="4"/>
      <c r="C32" s="4"/>
      <c r="D32" s="6" t="s">
        <v>27</v>
      </c>
      <c r="E32" s="6" t="s">
        <v>28</v>
      </c>
      <c r="F32" s="6" t="s">
        <v>29</v>
      </c>
      <c r="G32" s="6" t="s">
        <v>30</v>
      </c>
      <c r="H32" s="6" t="s">
        <v>31</v>
      </c>
      <c r="I32" s="6" t="s">
        <v>32</v>
      </c>
      <c r="J32" s="6" t="s">
        <v>33</v>
      </c>
      <c r="K32" s="6" t="s">
        <v>34</v>
      </c>
      <c r="L32" s="6" t="s">
        <v>35</v>
      </c>
      <c r="M32" s="8">
        <v>2776035.44</v>
      </c>
      <c r="N32" s="6" t="s">
        <v>36</v>
      </c>
      <c r="O32" s="8">
        <v>2776035.44</v>
      </c>
      <c r="P32" s="6" t="s">
        <v>36</v>
      </c>
      <c r="Q32" s="8">
        <v>2782295.31</v>
      </c>
      <c r="R32" s="6" t="s">
        <v>37</v>
      </c>
      <c r="S32" s="8">
        <v>2782295.31</v>
      </c>
      <c r="T32" s="6" t="s">
        <v>37</v>
      </c>
      <c r="U32" s="6" t="s">
        <v>113</v>
      </c>
      <c r="V32" s="6" t="s">
        <v>114</v>
      </c>
      <c r="W32" s="6" t="s">
        <v>67</v>
      </c>
      <c r="X32" s="6" t="s">
        <v>68</v>
      </c>
      <c r="Y32" s="6" t="s">
        <v>84</v>
      </c>
      <c r="Z32" s="8">
        <v>1572.55</v>
      </c>
      <c r="AA32" s="9"/>
      <c r="AB32" s="8">
        <v>2576858.4300000002</v>
      </c>
      <c r="AC32" s="6" t="s">
        <v>42</v>
      </c>
      <c r="AD32" s="6" t="s">
        <v>84</v>
      </c>
      <c r="AE32" s="6" t="s">
        <v>457</v>
      </c>
    </row>
    <row r="33" spans="1:31">
      <c r="A33" s="4"/>
      <c r="B33" s="4"/>
      <c r="C33" s="4"/>
      <c r="D33" s="6" t="s">
        <v>27</v>
      </c>
      <c r="E33" s="6" t="s">
        <v>28</v>
      </c>
      <c r="F33" s="6" t="s">
        <v>29</v>
      </c>
      <c r="G33" s="6" t="s">
        <v>30</v>
      </c>
      <c r="H33" s="6" t="s">
        <v>31</v>
      </c>
      <c r="I33" s="6" t="s">
        <v>32</v>
      </c>
      <c r="J33" s="6" t="s">
        <v>33</v>
      </c>
      <c r="K33" s="6" t="s">
        <v>34</v>
      </c>
      <c r="L33" s="6" t="s">
        <v>35</v>
      </c>
      <c r="M33" s="8">
        <v>2776035.44</v>
      </c>
      <c r="N33" s="6" t="s">
        <v>36</v>
      </c>
      <c r="O33" s="8">
        <v>2776035.44</v>
      </c>
      <c r="P33" s="6" t="s">
        <v>36</v>
      </c>
      <c r="Q33" s="8">
        <v>2782295.31</v>
      </c>
      <c r="R33" s="6" t="s">
        <v>37</v>
      </c>
      <c r="S33" s="8">
        <v>2782295.31</v>
      </c>
      <c r="T33" s="6" t="s">
        <v>37</v>
      </c>
      <c r="U33" s="6" t="s">
        <v>115</v>
      </c>
      <c r="V33" s="6" t="s">
        <v>116</v>
      </c>
      <c r="W33" s="6" t="s">
        <v>67</v>
      </c>
      <c r="X33" s="6" t="s">
        <v>68</v>
      </c>
      <c r="Y33" s="6" t="s">
        <v>84</v>
      </c>
      <c r="Z33" s="8">
        <v>2209.46</v>
      </c>
      <c r="AA33" s="9"/>
      <c r="AB33" s="8">
        <v>2575285.88</v>
      </c>
      <c r="AC33" s="6" t="s">
        <v>42</v>
      </c>
      <c r="AD33" s="6" t="s">
        <v>84</v>
      </c>
      <c r="AE33" s="6" t="s">
        <v>457</v>
      </c>
    </row>
    <row r="34" spans="1:31">
      <c r="A34" s="4"/>
      <c r="B34" s="4"/>
      <c r="C34" s="4"/>
      <c r="D34" s="6" t="s">
        <v>27</v>
      </c>
      <c r="E34" s="6" t="s">
        <v>28</v>
      </c>
      <c r="F34" s="6" t="s">
        <v>29</v>
      </c>
      <c r="G34" s="6" t="s">
        <v>30</v>
      </c>
      <c r="H34" s="6" t="s">
        <v>31</v>
      </c>
      <c r="I34" s="6" t="s">
        <v>32</v>
      </c>
      <c r="J34" s="6" t="s">
        <v>33</v>
      </c>
      <c r="K34" s="6" t="s">
        <v>34</v>
      </c>
      <c r="L34" s="6" t="s">
        <v>35</v>
      </c>
      <c r="M34" s="8">
        <v>2776035.44</v>
      </c>
      <c r="N34" s="6" t="s">
        <v>36</v>
      </c>
      <c r="O34" s="8">
        <v>2776035.44</v>
      </c>
      <c r="P34" s="6" t="s">
        <v>36</v>
      </c>
      <c r="Q34" s="8">
        <v>2782295.31</v>
      </c>
      <c r="R34" s="6" t="s">
        <v>37</v>
      </c>
      <c r="S34" s="8">
        <v>2782295.31</v>
      </c>
      <c r="T34" s="6" t="s">
        <v>37</v>
      </c>
      <c r="U34" s="6" t="s">
        <v>117</v>
      </c>
      <c r="V34" s="6" t="s">
        <v>118</v>
      </c>
      <c r="W34" s="6" t="s">
        <v>119</v>
      </c>
      <c r="X34" s="6" t="s">
        <v>68</v>
      </c>
      <c r="Y34" s="6" t="s">
        <v>84</v>
      </c>
      <c r="Z34" s="9"/>
      <c r="AA34" s="8">
        <v>-327.16000000000003</v>
      </c>
      <c r="AB34" s="8">
        <v>2573076.42</v>
      </c>
      <c r="AC34" s="6" t="s">
        <v>42</v>
      </c>
      <c r="AD34" s="6" t="s">
        <v>84</v>
      </c>
      <c r="AE34" s="6" t="s">
        <v>457</v>
      </c>
    </row>
    <row r="35" spans="1:31">
      <c r="A35" s="4"/>
      <c r="B35" s="4"/>
      <c r="C35" s="4"/>
      <c r="D35" s="6" t="s">
        <v>27</v>
      </c>
      <c r="E35" s="6" t="s">
        <v>28</v>
      </c>
      <c r="F35" s="6" t="s">
        <v>29</v>
      </c>
      <c r="G35" s="6" t="s">
        <v>30</v>
      </c>
      <c r="H35" s="6" t="s">
        <v>31</v>
      </c>
      <c r="I35" s="6" t="s">
        <v>32</v>
      </c>
      <c r="J35" s="6" t="s">
        <v>33</v>
      </c>
      <c r="K35" s="6" t="s">
        <v>34</v>
      </c>
      <c r="L35" s="6" t="s">
        <v>35</v>
      </c>
      <c r="M35" s="8">
        <v>2776035.44</v>
      </c>
      <c r="N35" s="6" t="s">
        <v>36</v>
      </c>
      <c r="O35" s="8">
        <v>2776035.44</v>
      </c>
      <c r="P35" s="6" t="s">
        <v>36</v>
      </c>
      <c r="Q35" s="8">
        <v>2782295.31</v>
      </c>
      <c r="R35" s="6" t="s">
        <v>37</v>
      </c>
      <c r="S35" s="8">
        <v>2782295.31</v>
      </c>
      <c r="T35" s="6" t="s">
        <v>37</v>
      </c>
      <c r="U35" s="6" t="s">
        <v>120</v>
      </c>
      <c r="V35" s="6" t="s">
        <v>121</v>
      </c>
      <c r="W35" s="6" t="s">
        <v>122</v>
      </c>
      <c r="X35" s="6" t="s">
        <v>41</v>
      </c>
      <c r="Y35" s="6" t="s">
        <v>123</v>
      </c>
      <c r="Z35" s="8">
        <v>8901.2900000000009</v>
      </c>
      <c r="AA35" s="9"/>
      <c r="AB35" s="8">
        <v>2573403.58</v>
      </c>
      <c r="AC35" s="6" t="s">
        <v>42</v>
      </c>
      <c r="AD35" s="6" t="s">
        <v>123</v>
      </c>
      <c r="AE35" s="6" t="s">
        <v>457</v>
      </c>
    </row>
    <row r="36" spans="1:31">
      <c r="A36" s="4"/>
      <c r="B36" s="4"/>
      <c r="C36" s="4"/>
      <c r="D36" s="6" t="s">
        <v>27</v>
      </c>
      <c r="E36" s="6" t="s">
        <v>28</v>
      </c>
      <c r="F36" s="6" t="s">
        <v>29</v>
      </c>
      <c r="G36" s="6" t="s">
        <v>30</v>
      </c>
      <c r="H36" s="6" t="s">
        <v>31</v>
      </c>
      <c r="I36" s="6" t="s">
        <v>32</v>
      </c>
      <c r="J36" s="6" t="s">
        <v>33</v>
      </c>
      <c r="K36" s="6" t="s">
        <v>34</v>
      </c>
      <c r="L36" s="6" t="s">
        <v>35</v>
      </c>
      <c r="M36" s="8">
        <v>2776035.44</v>
      </c>
      <c r="N36" s="6" t="s">
        <v>36</v>
      </c>
      <c r="O36" s="8">
        <v>2776035.44</v>
      </c>
      <c r="P36" s="6" t="s">
        <v>36</v>
      </c>
      <c r="Q36" s="8">
        <v>2782295.31</v>
      </c>
      <c r="R36" s="6" t="s">
        <v>37</v>
      </c>
      <c r="S36" s="8">
        <v>2782295.31</v>
      </c>
      <c r="T36" s="6" t="s">
        <v>37</v>
      </c>
      <c r="U36" s="6" t="s">
        <v>124</v>
      </c>
      <c r="V36" s="6" t="s">
        <v>125</v>
      </c>
      <c r="W36" s="6" t="s">
        <v>48</v>
      </c>
      <c r="X36" s="6" t="s">
        <v>49</v>
      </c>
      <c r="Y36" s="6" t="s">
        <v>123</v>
      </c>
      <c r="Z36" s="8">
        <v>15628.81</v>
      </c>
      <c r="AA36" s="9"/>
      <c r="AB36" s="8">
        <v>2564502.29</v>
      </c>
      <c r="AC36" s="6" t="s">
        <v>42</v>
      </c>
      <c r="AD36" s="6" t="s">
        <v>123</v>
      </c>
      <c r="AE36" s="6" t="s">
        <v>457</v>
      </c>
    </row>
    <row r="37" spans="1:31">
      <c r="A37" s="4"/>
      <c r="B37" s="4"/>
      <c r="C37" s="4"/>
      <c r="D37" s="6" t="s">
        <v>27</v>
      </c>
      <c r="E37" s="6" t="s">
        <v>28</v>
      </c>
      <c r="F37" s="6" t="s">
        <v>29</v>
      </c>
      <c r="G37" s="6" t="s">
        <v>30</v>
      </c>
      <c r="H37" s="6" t="s">
        <v>31</v>
      </c>
      <c r="I37" s="6" t="s">
        <v>32</v>
      </c>
      <c r="J37" s="6" t="s">
        <v>33</v>
      </c>
      <c r="K37" s="6" t="s">
        <v>34</v>
      </c>
      <c r="L37" s="6" t="s">
        <v>35</v>
      </c>
      <c r="M37" s="8">
        <v>2776035.44</v>
      </c>
      <c r="N37" s="6" t="s">
        <v>36</v>
      </c>
      <c r="O37" s="8">
        <v>2776035.44</v>
      </c>
      <c r="P37" s="6" t="s">
        <v>36</v>
      </c>
      <c r="Q37" s="8">
        <v>2782295.31</v>
      </c>
      <c r="R37" s="6" t="s">
        <v>37</v>
      </c>
      <c r="S37" s="8">
        <v>2782295.31</v>
      </c>
      <c r="T37" s="6" t="s">
        <v>37</v>
      </c>
      <c r="U37" s="6" t="s">
        <v>126</v>
      </c>
      <c r="V37" s="6" t="s">
        <v>127</v>
      </c>
      <c r="W37" s="6" t="s">
        <v>48</v>
      </c>
      <c r="X37" s="6" t="s">
        <v>49</v>
      </c>
      <c r="Y37" s="6" t="s">
        <v>123</v>
      </c>
      <c r="Z37" s="8">
        <v>21942</v>
      </c>
      <c r="AA37" s="9"/>
      <c r="AB37" s="8">
        <v>2548873.48</v>
      </c>
      <c r="AC37" s="6" t="s">
        <v>42</v>
      </c>
      <c r="AD37" s="6" t="s">
        <v>123</v>
      </c>
      <c r="AE37" s="6" t="s">
        <v>457</v>
      </c>
    </row>
    <row r="38" spans="1:31">
      <c r="A38" s="4"/>
      <c r="B38" s="4"/>
      <c r="C38" s="4"/>
      <c r="D38" s="6" t="s">
        <v>27</v>
      </c>
      <c r="E38" s="6" t="s">
        <v>28</v>
      </c>
      <c r="F38" s="6" t="s">
        <v>29</v>
      </c>
      <c r="G38" s="6" t="s">
        <v>30</v>
      </c>
      <c r="H38" s="6" t="s">
        <v>31</v>
      </c>
      <c r="I38" s="6" t="s">
        <v>32</v>
      </c>
      <c r="J38" s="6" t="s">
        <v>33</v>
      </c>
      <c r="K38" s="6" t="s">
        <v>34</v>
      </c>
      <c r="L38" s="6" t="s">
        <v>35</v>
      </c>
      <c r="M38" s="8">
        <v>2776035.44</v>
      </c>
      <c r="N38" s="6" t="s">
        <v>36</v>
      </c>
      <c r="O38" s="8">
        <v>2776035.44</v>
      </c>
      <c r="P38" s="6" t="s">
        <v>36</v>
      </c>
      <c r="Q38" s="8">
        <v>2782295.31</v>
      </c>
      <c r="R38" s="6" t="s">
        <v>37</v>
      </c>
      <c r="S38" s="8">
        <v>2782295.31</v>
      </c>
      <c r="T38" s="6" t="s">
        <v>37</v>
      </c>
      <c r="U38" s="6" t="s">
        <v>128</v>
      </c>
      <c r="V38" s="6" t="s">
        <v>129</v>
      </c>
      <c r="W38" s="6" t="s">
        <v>48</v>
      </c>
      <c r="X38" s="6" t="s">
        <v>49</v>
      </c>
      <c r="Y38" s="6" t="s">
        <v>123</v>
      </c>
      <c r="Z38" s="8">
        <v>24221</v>
      </c>
      <c r="AA38" s="9"/>
      <c r="AB38" s="8">
        <v>2526931.48</v>
      </c>
      <c r="AC38" s="6" t="s">
        <v>42</v>
      </c>
      <c r="AD38" s="6" t="s">
        <v>123</v>
      </c>
      <c r="AE38" s="6" t="s">
        <v>457</v>
      </c>
    </row>
    <row r="39" spans="1:31">
      <c r="A39" s="4"/>
      <c r="B39" s="4"/>
      <c r="C39" s="4"/>
      <c r="D39" s="6" t="s">
        <v>27</v>
      </c>
      <c r="E39" s="6" t="s">
        <v>28</v>
      </c>
      <c r="F39" s="6" t="s">
        <v>29</v>
      </c>
      <c r="G39" s="6" t="s">
        <v>30</v>
      </c>
      <c r="H39" s="6" t="s">
        <v>31</v>
      </c>
      <c r="I39" s="6" t="s">
        <v>32</v>
      </c>
      <c r="J39" s="6" t="s">
        <v>33</v>
      </c>
      <c r="K39" s="6" t="s">
        <v>34</v>
      </c>
      <c r="L39" s="6" t="s">
        <v>35</v>
      </c>
      <c r="M39" s="8">
        <v>2776035.44</v>
      </c>
      <c r="N39" s="6" t="s">
        <v>36</v>
      </c>
      <c r="O39" s="8">
        <v>2776035.44</v>
      </c>
      <c r="P39" s="6" t="s">
        <v>36</v>
      </c>
      <c r="Q39" s="8">
        <v>2782295.31</v>
      </c>
      <c r="R39" s="6" t="s">
        <v>37</v>
      </c>
      <c r="S39" s="8">
        <v>2782295.31</v>
      </c>
      <c r="T39" s="6" t="s">
        <v>37</v>
      </c>
      <c r="U39" s="6" t="s">
        <v>130</v>
      </c>
      <c r="V39" s="6" t="s">
        <v>131</v>
      </c>
      <c r="W39" s="6" t="s">
        <v>48</v>
      </c>
      <c r="X39" s="6" t="s">
        <v>49</v>
      </c>
      <c r="Y39" s="6" t="s">
        <v>123</v>
      </c>
      <c r="Z39" s="8">
        <v>10833.14</v>
      </c>
      <c r="AA39" s="9"/>
      <c r="AB39" s="8">
        <v>2502710.48</v>
      </c>
      <c r="AC39" s="6" t="s">
        <v>42</v>
      </c>
      <c r="AD39" s="6" t="s">
        <v>123</v>
      </c>
      <c r="AE39" s="6" t="s">
        <v>457</v>
      </c>
    </row>
    <row r="40" spans="1:31">
      <c r="A40" s="4"/>
      <c r="B40" s="4"/>
      <c r="C40" s="4"/>
      <c r="D40" s="6" t="s">
        <v>27</v>
      </c>
      <c r="E40" s="6" t="s">
        <v>28</v>
      </c>
      <c r="F40" s="6" t="s">
        <v>29</v>
      </c>
      <c r="G40" s="6" t="s">
        <v>30</v>
      </c>
      <c r="H40" s="6" t="s">
        <v>31</v>
      </c>
      <c r="I40" s="6" t="s">
        <v>32</v>
      </c>
      <c r="J40" s="6" t="s">
        <v>33</v>
      </c>
      <c r="K40" s="6" t="s">
        <v>34</v>
      </c>
      <c r="L40" s="6" t="s">
        <v>35</v>
      </c>
      <c r="M40" s="8">
        <v>2776035.44</v>
      </c>
      <c r="N40" s="6" t="s">
        <v>36</v>
      </c>
      <c r="O40" s="8">
        <v>2776035.44</v>
      </c>
      <c r="P40" s="6" t="s">
        <v>36</v>
      </c>
      <c r="Q40" s="8">
        <v>2782295.31</v>
      </c>
      <c r="R40" s="6" t="s">
        <v>37</v>
      </c>
      <c r="S40" s="8">
        <v>2782295.31</v>
      </c>
      <c r="T40" s="6" t="s">
        <v>37</v>
      </c>
      <c r="U40" s="6" t="s">
        <v>132</v>
      </c>
      <c r="V40" s="6" t="s">
        <v>133</v>
      </c>
      <c r="W40" s="6" t="s">
        <v>48</v>
      </c>
      <c r="X40" s="6" t="s">
        <v>49</v>
      </c>
      <c r="Y40" s="6" t="s">
        <v>123</v>
      </c>
      <c r="Z40" s="8">
        <v>23445.279999999999</v>
      </c>
      <c r="AA40" s="9"/>
      <c r="AB40" s="8">
        <v>2491877.34</v>
      </c>
      <c r="AC40" s="6" t="s">
        <v>42</v>
      </c>
      <c r="AD40" s="6" t="s">
        <v>123</v>
      </c>
      <c r="AE40" s="6" t="s">
        <v>457</v>
      </c>
    </row>
    <row r="41" spans="1:31">
      <c r="A41" s="4"/>
      <c r="B41" s="4"/>
      <c r="C41" s="4"/>
      <c r="D41" s="6" t="s">
        <v>27</v>
      </c>
      <c r="E41" s="6" t="s">
        <v>28</v>
      </c>
      <c r="F41" s="6" t="s">
        <v>29</v>
      </c>
      <c r="G41" s="6" t="s">
        <v>30</v>
      </c>
      <c r="H41" s="6" t="s">
        <v>31</v>
      </c>
      <c r="I41" s="6" t="s">
        <v>32</v>
      </c>
      <c r="J41" s="6" t="s">
        <v>33</v>
      </c>
      <c r="K41" s="6" t="s">
        <v>34</v>
      </c>
      <c r="L41" s="6" t="s">
        <v>35</v>
      </c>
      <c r="M41" s="8">
        <v>2776035.44</v>
      </c>
      <c r="N41" s="6" t="s">
        <v>36</v>
      </c>
      <c r="O41" s="8">
        <v>2776035.44</v>
      </c>
      <c r="P41" s="6" t="s">
        <v>36</v>
      </c>
      <c r="Q41" s="8">
        <v>2782295.31</v>
      </c>
      <c r="R41" s="6" t="s">
        <v>37</v>
      </c>
      <c r="S41" s="8">
        <v>2782295.31</v>
      </c>
      <c r="T41" s="6" t="s">
        <v>37</v>
      </c>
      <c r="U41" s="6" t="s">
        <v>134</v>
      </c>
      <c r="V41" s="6" t="s">
        <v>135</v>
      </c>
      <c r="W41" s="6" t="s">
        <v>48</v>
      </c>
      <c r="X41" s="6" t="s">
        <v>49</v>
      </c>
      <c r="Y41" s="6" t="s">
        <v>123</v>
      </c>
      <c r="Z41" s="8">
        <v>5048.6899999999996</v>
      </c>
      <c r="AA41" s="9"/>
      <c r="AB41" s="8">
        <v>2468432.06</v>
      </c>
      <c r="AC41" s="6" t="s">
        <v>42</v>
      </c>
      <c r="AD41" s="6" t="s">
        <v>123</v>
      </c>
      <c r="AE41" s="6" t="s">
        <v>457</v>
      </c>
    </row>
    <row r="42" spans="1:31">
      <c r="A42" s="4"/>
      <c r="B42" s="4"/>
      <c r="C42" s="4"/>
      <c r="D42" s="6" t="s">
        <v>27</v>
      </c>
      <c r="E42" s="6" t="s">
        <v>28</v>
      </c>
      <c r="F42" s="6" t="s">
        <v>29</v>
      </c>
      <c r="G42" s="6" t="s">
        <v>30</v>
      </c>
      <c r="H42" s="6" t="s">
        <v>31</v>
      </c>
      <c r="I42" s="6" t="s">
        <v>32</v>
      </c>
      <c r="J42" s="6" t="s">
        <v>33</v>
      </c>
      <c r="K42" s="6" t="s">
        <v>34</v>
      </c>
      <c r="L42" s="6" t="s">
        <v>35</v>
      </c>
      <c r="M42" s="8">
        <v>2776035.44</v>
      </c>
      <c r="N42" s="6" t="s">
        <v>36</v>
      </c>
      <c r="O42" s="8">
        <v>2776035.44</v>
      </c>
      <c r="P42" s="6" t="s">
        <v>36</v>
      </c>
      <c r="Q42" s="8">
        <v>2782295.31</v>
      </c>
      <c r="R42" s="6" t="s">
        <v>37</v>
      </c>
      <c r="S42" s="8">
        <v>2782295.31</v>
      </c>
      <c r="T42" s="6" t="s">
        <v>37</v>
      </c>
      <c r="U42" s="6" t="s">
        <v>136</v>
      </c>
      <c r="V42" s="6" t="s">
        <v>137</v>
      </c>
      <c r="W42" s="6" t="s">
        <v>48</v>
      </c>
      <c r="X42" s="6" t="s">
        <v>49</v>
      </c>
      <c r="Y42" s="6" t="s">
        <v>123</v>
      </c>
      <c r="Z42" s="8">
        <v>185</v>
      </c>
      <c r="AA42" s="9"/>
      <c r="AB42" s="8">
        <v>2463383.37</v>
      </c>
      <c r="AC42" s="6" t="s">
        <v>42</v>
      </c>
      <c r="AD42" s="6" t="s">
        <v>123</v>
      </c>
      <c r="AE42" s="6" t="s">
        <v>457</v>
      </c>
    </row>
    <row r="43" spans="1:31">
      <c r="A43" s="4"/>
      <c r="B43" s="4"/>
      <c r="C43" s="4"/>
      <c r="D43" s="6" t="s">
        <v>27</v>
      </c>
      <c r="E43" s="6" t="s">
        <v>28</v>
      </c>
      <c r="F43" s="6" t="s">
        <v>29</v>
      </c>
      <c r="G43" s="6" t="s">
        <v>30</v>
      </c>
      <c r="H43" s="6" t="s">
        <v>31</v>
      </c>
      <c r="I43" s="6" t="s">
        <v>32</v>
      </c>
      <c r="J43" s="6" t="s">
        <v>33</v>
      </c>
      <c r="K43" s="6" t="s">
        <v>34</v>
      </c>
      <c r="L43" s="6" t="s">
        <v>35</v>
      </c>
      <c r="M43" s="8">
        <v>2776035.44</v>
      </c>
      <c r="N43" s="6" t="s">
        <v>36</v>
      </c>
      <c r="O43" s="8">
        <v>2776035.44</v>
      </c>
      <c r="P43" s="6" t="s">
        <v>36</v>
      </c>
      <c r="Q43" s="8">
        <v>2782295.31</v>
      </c>
      <c r="R43" s="6" t="s">
        <v>37</v>
      </c>
      <c r="S43" s="8">
        <v>2782295.31</v>
      </c>
      <c r="T43" s="6" t="s">
        <v>37</v>
      </c>
      <c r="U43" s="6" t="s">
        <v>138</v>
      </c>
      <c r="V43" s="6" t="s">
        <v>139</v>
      </c>
      <c r="W43" s="6" t="s">
        <v>67</v>
      </c>
      <c r="X43" s="6" t="s">
        <v>68</v>
      </c>
      <c r="Y43" s="6" t="s">
        <v>123</v>
      </c>
      <c r="Z43" s="8">
        <v>2019.34</v>
      </c>
      <c r="AA43" s="9"/>
      <c r="AB43" s="8">
        <v>2463198.37</v>
      </c>
      <c r="AC43" s="6" t="s">
        <v>42</v>
      </c>
      <c r="AD43" s="6" t="s">
        <v>123</v>
      </c>
      <c r="AE43" s="6" t="s">
        <v>457</v>
      </c>
    </row>
    <row r="44" spans="1:31">
      <c r="A44" s="4"/>
      <c r="B44" s="4"/>
      <c r="C44" s="4"/>
      <c r="D44" s="6" t="s">
        <v>27</v>
      </c>
      <c r="E44" s="6" t="s">
        <v>28</v>
      </c>
      <c r="F44" s="6" t="s">
        <v>29</v>
      </c>
      <c r="G44" s="6" t="s">
        <v>30</v>
      </c>
      <c r="H44" s="6" t="s">
        <v>31</v>
      </c>
      <c r="I44" s="6" t="s">
        <v>32</v>
      </c>
      <c r="J44" s="6" t="s">
        <v>33</v>
      </c>
      <c r="K44" s="6" t="s">
        <v>34</v>
      </c>
      <c r="L44" s="6" t="s">
        <v>35</v>
      </c>
      <c r="M44" s="8">
        <v>2776035.44</v>
      </c>
      <c r="N44" s="6" t="s">
        <v>36</v>
      </c>
      <c r="O44" s="8">
        <v>2776035.44</v>
      </c>
      <c r="P44" s="6" t="s">
        <v>36</v>
      </c>
      <c r="Q44" s="8">
        <v>2782295.31</v>
      </c>
      <c r="R44" s="6" t="s">
        <v>37</v>
      </c>
      <c r="S44" s="8">
        <v>2782295.31</v>
      </c>
      <c r="T44" s="6" t="s">
        <v>37</v>
      </c>
      <c r="U44" s="6" t="s">
        <v>140</v>
      </c>
      <c r="V44" s="6" t="s">
        <v>141</v>
      </c>
      <c r="W44" s="6" t="s">
        <v>142</v>
      </c>
      <c r="X44" s="6" t="s">
        <v>41</v>
      </c>
      <c r="Y44" s="6" t="s">
        <v>143</v>
      </c>
      <c r="Z44" s="8">
        <v>23559.82</v>
      </c>
      <c r="AA44" s="9"/>
      <c r="AB44" s="8">
        <v>2461179.0299999998</v>
      </c>
      <c r="AC44" s="6" t="s">
        <v>42</v>
      </c>
      <c r="AD44" s="6" t="s">
        <v>143</v>
      </c>
      <c r="AE44" s="6" t="s">
        <v>457</v>
      </c>
    </row>
    <row r="45" spans="1:31">
      <c r="A45" s="4"/>
      <c r="B45" s="4"/>
      <c r="C45" s="4"/>
      <c r="D45" s="6" t="s">
        <v>27</v>
      </c>
      <c r="E45" s="6" t="s">
        <v>28</v>
      </c>
      <c r="F45" s="6" t="s">
        <v>29</v>
      </c>
      <c r="G45" s="6" t="s">
        <v>30</v>
      </c>
      <c r="H45" s="6" t="s">
        <v>31</v>
      </c>
      <c r="I45" s="6" t="s">
        <v>32</v>
      </c>
      <c r="J45" s="6" t="s">
        <v>33</v>
      </c>
      <c r="K45" s="6" t="s">
        <v>34</v>
      </c>
      <c r="L45" s="6" t="s">
        <v>35</v>
      </c>
      <c r="M45" s="8">
        <v>2776035.44</v>
      </c>
      <c r="N45" s="6" t="s">
        <v>36</v>
      </c>
      <c r="O45" s="8">
        <v>2776035.44</v>
      </c>
      <c r="P45" s="6" t="s">
        <v>36</v>
      </c>
      <c r="Q45" s="8">
        <v>2782295.31</v>
      </c>
      <c r="R45" s="6" t="s">
        <v>37</v>
      </c>
      <c r="S45" s="8">
        <v>2782295.31</v>
      </c>
      <c r="T45" s="6" t="s">
        <v>37</v>
      </c>
      <c r="U45" s="6" t="s">
        <v>144</v>
      </c>
      <c r="V45" s="6" t="s">
        <v>145</v>
      </c>
      <c r="W45" s="6" t="s">
        <v>146</v>
      </c>
      <c r="X45" s="6" t="s">
        <v>41</v>
      </c>
      <c r="Y45" s="6" t="s">
        <v>143</v>
      </c>
      <c r="Z45" s="8">
        <v>5075.8</v>
      </c>
      <c r="AA45" s="9"/>
      <c r="AB45" s="8">
        <v>2437619.21</v>
      </c>
      <c r="AC45" s="6" t="s">
        <v>42</v>
      </c>
      <c r="AD45" s="6" t="s">
        <v>143</v>
      </c>
      <c r="AE45" s="6" t="s">
        <v>457</v>
      </c>
    </row>
    <row r="46" spans="1:31">
      <c r="A46" s="4"/>
      <c r="B46" s="4"/>
      <c r="C46" s="4"/>
      <c r="D46" s="6" t="s">
        <v>27</v>
      </c>
      <c r="E46" s="6" t="s">
        <v>28</v>
      </c>
      <c r="F46" s="6" t="s">
        <v>29</v>
      </c>
      <c r="G46" s="6" t="s">
        <v>30</v>
      </c>
      <c r="H46" s="6" t="s">
        <v>31</v>
      </c>
      <c r="I46" s="6" t="s">
        <v>32</v>
      </c>
      <c r="J46" s="6" t="s">
        <v>33</v>
      </c>
      <c r="K46" s="6" t="s">
        <v>34</v>
      </c>
      <c r="L46" s="6" t="s">
        <v>35</v>
      </c>
      <c r="M46" s="8">
        <v>2776035.44</v>
      </c>
      <c r="N46" s="6" t="s">
        <v>36</v>
      </c>
      <c r="O46" s="8">
        <v>2776035.44</v>
      </c>
      <c r="P46" s="6" t="s">
        <v>36</v>
      </c>
      <c r="Q46" s="8">
        <v>2782295.31</v>
      </c>
      <c r="R46" s="6" t="s">
        <v>37</v>
      </c>
      <c r="S46" s="8">
        <v>2782295.31</v>
      </c>
      <c r="T46" s="6" t="s">
        <v>37</v>
      </c>
      <c r="U46" s="6" t="s">
        <v>147</v>
      </c>
      <c r="V46" s="6" t="s">
        <v>148</v>
      </c>
      <c r="W46" s="6" t="s">
        <v>149</v>
      </c>
      <c r="X46" s="6" t="s">
        <v>41</v>
      </c>
      <c r="Y46" s="6" t="s">
        <v>143</v>
      </c>
      <c r="Z46" s="8">
        <v>49021.2</v>
      </c>
      <c r="AA46" s="9"/>
      <c r="AB46" s="8">
        <v>2432543.41</v>
      </c>
      <c r="AC46" s="6" t="s">
        <v>42</v>
      </c>
      <c r="AD46" s="6" t="s">
        <v>143</v>
      </c>
      <c r="AE46" s="6" t="s">
        <v>457</v>
      </c>
    </row>
    <row r="47" spans="1:31">
      <c r="A47" s="4"/>
      <c r="B47" s="4"/>
      <c r="C47" s="4"/>
      <c r="D47" s="6" t="s">
        <v>27</v>
      </c>
      <c r="E47" s="6" t="s">
        <v>28</v>
      </c>
      <c r="F47" s="6" t="s">
        <v>29</v>
      </c>
      <c r="G47" s="6" t="s">
        <v>30</v>
      </c>
      <c r="H47" s="6" t="s">
        <v>31</v>
      </c>
      <c r="I47" s="6" t="s">
        <v>32</v>
      </c>
      <c r="J47" s="6" t="s">
        <v>33</v>
      </c>
      <c r="K47" s="6" t="s">
        <v>34</v>
      </c>
      <c r="L47" s="6" t="s">
        <v>35</v>
      </c>
      <c r="M47" s="8">
        <v>2776035.44</v>
      </c>
      <c r="N47" s="6" t="s">
        <v>36</v>
      </c>
      <c r="O47" s="8">
        <v>2776035.44</v>
      </c>
      <c r="P47" s="6" t="s">
        <v>36</v>
      </c>
      <c r="Q47" s="8">
        <v>2782295.31</v>
      </c>
      <c r="R47" s="6" t="s">
        <v>37</v>
      </c>
      <c r="S47" s="8">
        <v>2782295.31</v>
      </c>
      <c r="T47" s="6" t="s">
        <v>37</v>
      </c>
      <c r="U47" s="6" t="s">
        <v>150</v>
      </c>
      <c r="V47" s="6" t="s">
        <v>151</v>
      </c>
      <c r="W47" s="6" t="s">
        <v>152</v>
      </c>
      <c r="X47" s="6" t="s">
        <v>41</v>
      </c>
      <c r="Y47" s="6" t="s">
        <v>143</v>
      </c>
      <c r="Z47" s="8">
        <v>5628.08</v>
      </c>
      <c r="AA47" s="9"/>
      <c r="AB47" s="8">
        <v>2383522.21</v>
      </c>
      <c r="AC47" s="6" t="s">
        <v>42</v>
      </c>
      <c r="AD47" s="6" t="s">
        <v>143</v>
      </c>
      <c r="AE47" s="6" t="s">
        <v>457</v>
      </c>
    </row>
    <row r="48" spans="1:31">
      <c r="A48" s="4"/>
      <c r="B48" s="4"/>
      <c r="C48" s="4"/>
      <c r="D48" s="6" t="s">
        <v>27</v>
      </c>
      <c r="E48" s="6" t="s">
        <v>28</v>
      </c>
      <c r="F48" s="6" t="s">
        <v>29</v>
      </c>
      <c r="G48" s="6" t="s">
        <v>30</v>
      </c>
      <c r="H48" s="6" t="s">
        <v>31</v>
      </c>
      <c r="I48" s="6" t="s">
        <v>32</v>
      </c>
      <c r="J48" s="6" t="s">
        <v>33</v>
      </c>
      <c r="K48" s="6" t="s">
        <v>34</v>
      </c>
      <c r="L48" s="6" t="s">
        <v>35</v>
      </c>
      <c r="M48" s="8">
        <v>2776035.44</v>
      </c>
      <c r="N48" s="6" t="s">
        <v>36</v>
      </c>
      <c r="O48" s="8">
        <v>2776035.44</v>
      </c>
      <c r="P48" s="6" t="s">
        <v>36</v>
      </c>
      <c r="Q48" s="8">
        <v>2782295.31</v>
      </c>
      <c r="R48" s="6" t="s">
        <v>37</v>
      </c>
      <c r="S48" s="8">
        <v>2782295.31</v>
      </c>
      <c r="T48" s="6" t="s">
        <v>37</v>
      </c>
      <c r="U48" s="6" t="s">
        <v>153</v>
      </c>
      <c r="V48" s="6" t="s">
        <v>154</v>
      </c>
      <c r="W48" s="6" t="s">
        <v>48</v>
      </c>
      <c r="X48" s="6" t="s">
        <v>49</v>
      </c>
      <c r="Y48" s="6" t="s">
        <v>143</v>
      </c>
      <c r="Z48" s="8">
        <v>20</v>
      </c>
      <c r="AA48" s="9"/>
      <c r="AB48" s="8">
        <v>2377894.13</v>
      </c>
      <c r="AC48" s="6" t="s">
        <v>42</v>
      </c>
      <c r="AD48" s="6" t="s">
        <v>143</v>
      </c>
      <c r="AE48" s="6" t="s">
        <v>457</v>
      </c>
    </row>
    <row r="49" spans="1:31">
      <c r="A49" s="4"/>
      <c r="B49" s="4"/>
      <c r="C49" s="4"/>
      <c r="D49" s="6" t="s">
        <v>27</v>
      </c>
      <c r="E49" s="6" t="s">
        <v>28</v>
      </c>
      <c r="F49" s="6" t="s">
        <v>29</v>
      </c>
      <c r="G49" s="6" t="s">
        <v>30</v>
      </c>
      <c r="H49" s="6" t="s">
        <v>31</v>
      </c>
      <c r="I49" s="6" t="s">
        <v>32</v>
      </c>
      <c r="J49" s="6" t="s">
        <v>33</v>
      </c>
      <c r="K49" s="6" t="s">
        <v>34</v>
      </c>
      <c r="L49" s="6" t="s">
        <v>35</v>
      </c>
      <c r="M49" s="8">
        <v>2776035.44</v>
      </c>
      <c r="N49" s="6" t="s">
        <v>36</v>
      </c>
      <c r="O49" s="8">
        <v>2776035.44</v>
      </c>
      <c r="P49" s="6" t="s">
        <v>36</v>
      </c>
      <c r="Q49" s="8">
        <v>2782295.31</v>
      </c>
      <c r="R49" s="6" t="s">
        <v>37</v>
      </c>
      <c r="S49" s="8">
        <v>2782295.31</v>
      </c>
      <c r="T49" s="6" t="s">
        <v>37</v>
      </c>
      <c r="U49" s="6" t="s">
        <v>155</v>
      </c>
      <c r="V49" s="6" t="s">
        <v>156</v>
      </c>
      <c r="W49" s="6" t="s">
        <v>48</v>
      </c>
      <c r="X49" s="6" t="s">
        <v>49</v>
      </c>
      <c r="Y49" s="6" t="s">
        <v>143</v>
      </c>
      <c r="Z49" s="8">
        <v>183.5</v>
      </c>
      <c r="AA49" s="9"/>
      <c r="AB49" s="8">
        <v>2377874.13</v>
      </c>
      <c r="AC49" s="6" t="s">
        <v>42</v>
      </c>
      <c r="AD49" s="6" t="s">
        <v>143</v>
      </c>
      <c r="AE49" s="6" t="s">
        <v>457</v>
      </c>
    </row>
    <row r="50" spans="1:31">
      <c r="A50" s="4"/>
      <c r="B50" s="4"/>
      <c r="C50" s="4"/>
      <c r="D50" s="6" t="s">
        <v>27</v>
      </c>
      <c r="E50" s="6" t="s">
        <v>28</v>
      </c>
      <c r="F50" s="6" t="s">
        <v>29</v>
      </c>
      <c r="G50" s="6" t="s">
        <v>30</v>
      </c>
      <c r="H50" s="6" t="s">
        <v>31</v>
      </c>
      <c r="I50" s="6" t="s">
        <v>32</v>
      </c>
      <c r="J50" s="6" t="s">
        <v>33</v>
      </c>
      <c r="K50" s="6" t="s">
        <v>34</v>
      </c>
      <c r="L50" s="6" t="s">
        <v>35</v>
      </c>
      <c r="M50" s="8">
        <v>2776035.44</v>
      </c>
      <c r="N50" s="6" t="s">
        <v>36</v>
      </c>
      <c r="O50" s="8">
        <v>2776035.44</v>
      </c>
      <c r="P50" s="6" t="s">
        <v>36</v>
      </c>
      <c r="Q50" s="8">
        <v>2782295.31</v>
      </c>
      <c r="R50" s="6" t="s">
        <v>37</v>
      </c>
      <c r="S50" s="8">
        <v>2782295.31</v>
      </c>
      <c r="T50" s="6" t="s">
        <v>37</v>
      </c>
      <c r="U50" s="6" t="s">
        <v>157</v>
      </c>
      <c r="V50" s="6" t="s">
        <v>158</v>
      </c>
      <c r="W50" s="6" t="s">
        <v>48</v>
      </c>
      <c r="X50" s="6" t="s">
        <v>49</v>
      </c>
      <c r="Y50" s="6" t="s">
        <v>143</v>
      </c>
      <c r="Z50" s="8">
        <v>4902.07</v>
      </c>
      <c r="AA50" s="9"/>
      <c r="AB50" s="8">
        <v>2377690.63</v>
      </c>
      <c r="AC50" s="6" t="s">
        <v>42</v>
      </c>
      <c r="AD50" s="6" t="s">
        <v>143</v>
      </c>
      <c r="AE50" s="6" t="s">
        <v>457</v>
      </c>
    </row>
    <row r="51" spans="1:31">
      <c r="A51" s="4"/>
      <c r="B51" s="4"/>
      <c r="C51" s="4"/>
      <c r="D51" s="6" t="s">
        <v>27</v>
      </c>
      <c r="E51" s="6" t="s">
        <v>28</v>
      </c>
      <c r="F51" s="6" t="s">
        <v>29</v>
      </c>
      <c r="G51" s="6" t="s">
        <v>30</v>
      </c>
      <c r="H51" s="6" t="s">
        <v>31</v>
      </c>
      <c r="I51" s="6" t="s">
        <v>32</v>
      </c>
      <c r="J51" s="6" t="s">
        <v>33</v>
      </c>
      <c r="K51" s="6" t="s">
        <v>34</v>
      </c>
      <c r="L51" s="6" t="s">
        <v>35</v>
      </c>
      <c r="M51" s="8">
        <v>2776035.44</v>
      </c>
      <c r="N51" s="6" t="s">
        <v>36</v>
      </c>
      <c r="O51" s="8">
        <v>2776035.44</v>
      </c>
      <c r="P51" s="6" t="s">
        <v>36</v>
      </c>
      <c r="Q51" s="8">
        <v>2782295.31</v>
      </c>
      <c r="R51" s="6" t="s">
        <v>37</v>
      </c>
      <c r="S51" s="8">
        <v>2782295.31</v>
      </c>
      <c r="T51" s="6" t="s">
        <v>37</v>
      </c>
      <c r="U51" s="6" t="s">
        <v>159</v>
      </c>
      <c r="V51" s="6" t="s">
        <v>160</v>
      </c>
      <c r="W51" s="6" t="s">
        <v>48</v>
      </c>
      <c r="X51" s="6" t="s">
        <v>49</v>
      </c>
      <c r="Y51" s="6" t="s">
        <v>143</v>
      </c>
      <c r="Z51" s="8">
        <v>19822.68</v>
      </c>
      <c r="AA51" s="9"/>
      <c r="AB51" s="8">
        <v>2372788.56</v>
      </c>
      <c r="AC51" s="6" t="s">
        <v>42</v>
      </c>
      <c r="AD51" s="6" t="s">
        <v>143</v>
      </c>
      <c r="AE51" s="6" t="s">
        <v>457</v>
      </c>
    </row>
    <row r="52" spans="1:31">
      <c r="A52" s="4"/>
      <c r="B52" s="4"/>
      <c r="C52" s="4"/>
      <c r="D52" s="6" t="s">
        <v>27</v>
      </c>
      <c r="E52" s="6" t="s">
        <v>28</v>
      </c>
      <c r="F52" s="6" t="s">
        <v>29</v>
      </c>
      <c r="G52" s="6" t="s">
        <v>30</v>
      </c>
      <c r="H52" s="6" t="s">
        <v>31</v>
      </c>
      <c r="I52" s="6" t="s">
        <v>32</v>
      </c>
      <c r="J52" s="6" t="s">
        <v>33</v>
      </c>
      <c r="K52" s="6" t="s">
        <v>34</v>
      </c>
      <c r="L52" s="6" t="s">
        <v>35</v>
      </c>
      <c r="M52" s="8">
        <v>2776035.44</v>
      </c>
      <c r="N52" s="6" t="s">
        <v>36</v>
      </c>
      <c r="O52" s="8">
        <v>2776035.44</v>
      </c>
      <c r="P52" s="6" t="s">
        <v>36</v>
      </c>
      <c r="Q52" s="8">
        <v>2782295.31</v>
      </c>
      <c r="R52" s="6" t="s">
        <v>37</v>
      </c>
      <c r="S52" s="8">
        <v>2782295.31</v>
      </c>
      <c r="T52" s="6" t="s">
        <v>37</v>
      </c>
      <c r="U52" s="6" t="s">
        <v>161</v>
      </c>
      <c r="V52" s="6" t="s">
        <v>162</v>
      </c>
      <c r="W52" s="6" t="s">
        <v>48</v>
      </c>
      <c r="X52" s="6" t="s">
        <v>49</v>
      </c>
      <c r="Y52" s="6" t="s">
        <v>143</v>
      </c>
      <c r="Z52" s="8">
        <v>24755.02</v>
      </c>
      <c r="AA52" s="9"/>
      <c r="AB52" s="8">
        <v>2352965.88</v>
      </c>
      <c r="AC52" s="6" t="s">
        <v>42</v>
      </c>
      <c r="AD52" s="6" t="s">
        <v>143</v>
      </c>
      <c r="AE52" s="6" t="s">
        <v>457</v>
      </c>
    </row>
    <row r="53" spans="1:31">
      <c r="A53" s="4"/>
      <c r="B53" s="4"/>
      <c r="C53" s="4"/>
      <c r="D53" s="6" t="s">
        <v>27</v>
      </c>
      <c r="E53" s="6" t="s">
        <v>28</v>
      </c>
      <c r="F53" s="6" t="s">
        <v>29</v>
      </c>
      <c r="G53" s="6" t="s">
        <v>30</v>
      </c>
      <c r="H53" s="6" t="s">
        <v>31</v>
      </c>
      <c r="I53" s="6" t="s">
        <v>32</v>
      </c>
      <c r="J53" s="6" t="s">
        <v>33</v>
      </c>
      <c r="K53" s="6" t="s">
        <v>34</v>
      </c>
      <c r="L53" s="6" t="s">
        <v>35</v>
      </c>
      <c r="M53" s="8">
        <v>2776035.44</v>
      </c>
      <c r="N53" s="6" t="s">
        <v>36</v>
      </c>
      <c r="O53" s="8">
        <v>2776035.44</v>
      </c>
      <c r="P53" s="6" t="s">
        <v>36</v>
      </c>
      <c r="Q53" s="8">
        <v>2782295.31</v>
      </c>
      <c r="R53" s="6" t="s">
        <v>37</v>
      </c>
      <c r="S53" s="8">
        <v>2782295.31</v>
      </c>
      <c r="T53" s="6" t="s">
        <v>37</v>
      </c>
      <c r="U53" s="6" t="s">
        <v>163</v>
      </c>
      <c r="V53" s="6" t="s">
        <v>164</v>
      </c>
      <c r="W53" s="6" t="s">
        <v>48</v>
      </c>
      <c r="X53" s="6" t="s">
        <v>49</v>
      </c>
      <c r="Y53" s="6" t="s">
        <v>143</v>
      </c>
      <c r="Z53" s="8">
        <v>12833.32</v>
      </c>
      <c r="AA53" s="9"/>
      <c r="AB53" s="8">
        <v>2328210.86</v>
      </c>
      <c r="AC53" s="6" t="s">
        <v>42</v>
      </c>
      <c r="AD53" s="6" t="s">
        <v>143</v>
      </c>
      <c r="AE53" s="6" t="s">
        <v>457</v>
      </c>
    </row>
    <row r="54" spans="1:31">
      <c r="A54" s="4"/>
      <c r="B54" s="4"/>
      <c r="C54" s="4"/>
      <c r="D54" s="6" t="s">
        <v>27</v>
      </c>
      <c r="E54" s="6" t="s">
        <v>28</v>
      </c>
      <c r="F54" s="6" t="s">
        <v>29</v>
      </c>
      <c r="G54" s="6" t="s">
        <v>30</v>
      </c>
      <c r="H54" s="6" t="s">
        <v>31</v>
      </c>
      <c r="I54" s="6" t="s">
        <v>32</v>
      </c>
      <c r="J54" s="6" t="s">
        <v>33</v>
      </c>
      <c r="K54" s="6" t="s">
        <v>34</v>
      </c>
      <c r="L54" s="6" t="s">
        <v>35</v>
      </c>
      <c r="M54" s="8">
        <v>2776035.44</v>
      </c>
      <c r="N54" s="6" t="s">
        <v>36</v>
      </c>
      <c r="O54" s="8">
        <v>2776035.44</v>
      </c>
      <c r="P54" s="6" t="s">
        <v>36</v>
      </c>
      <c r="Q54" s="8">
        <v>2782295.31</v>
      </c>
      <c r="R54" s="6" t="s">
        <v>37</v>
      </c>
      <c r="S54" s="8">
        <v>2782295.31</v>
      </c>
      <c r="T54" s="6" t="s">
        <v>37</v>
      </c>
      <c r="U54" s="6" t="s">
        <v>165</v>
      </c>
      <c r="V54" s="6" t="s">
        <v>166</v>
      </c>
      <c r="W54" s="6" t="s">
        <v>48</v>
      </c>
      <c r="X54" s="6" t="s">
        <v>49</v>
      </c>
      <c r="Y54" s="6" t="s">
        <v>143</v>
      </c>
      <c r="Z54" s="8">
        <v>9732.86</v>
      </c>
      <c r="AA54" s="9"/>
      <c r="AB54" s="8">
        <v>2315377.54</v>
      </c>
      <c r="AC54" s="6" t="s">
        <v>42</v>
      </c>
      <c r="AD54" s="6" t="s">
        <v>143</v>
      </c>
      <c r="AE54" s="6" t="s">
        <v>457</v>
      </c>
    </row>
    <row r="55" spans="1:31">
      <c r="A55" s="4"/>
      <c r="B55" s="4"/>
      <c r="C55" s="4"/>
      <c r="D55" s="6" t="s">
        <v>27</v>
      </c>
      <c r="E55" s="6" t="s">
        <v>28</v>
      </c>
      <c r="F55" s="6" t="s">
        <v>29</v>
      </c>
      <c r="G55" s="6" t="s">
        <v>30</v>
      </c>
      <c r="H55" s="6" t="s">
        <v>31</v>
      </c>
      <c r="I55" s="6" t="s">
        <v>32</v>
      </c>
      <c r="J55" s="6" t="s">
        <v>33</v>
      </c>
      <c r="K55" s="6" t="s">
        <v>34</v>
      </c>
      <c r="L55" s="6" t="s">
        <v>35</v>
      </c>
      <c r="M55" s="8">
        <v>2776035.44</v>
      </c>
      <c r="N55" s="6" t="s">
        <v>36</v>
      </c>
      <c r="O55" s="8">
        <v>2776035.44</v>
      </c>
      <c r="P55" s="6" t="s">
        <v>36</v>
      </c>
      <c r="Q55" s="8">
        <v>2782295.31</v>
      </c>
      <c r="R55" s="6" t="s">
        <v>37</v>
      </c>
      <c r="S55" s="8">
        <v>2782295.31</v>
      </c>
      <c r="T55" s="6" t="s">
        <v>37</v>
      </c>
      <c r="U55" s="6" t="s">
        <v>167</v>
      </c>
      <c r="V55" s="6" t="s">
        <v>168</v>
      </c>
      <c r="W55" s="6" t="s">
        <v>48</v>
      </c>
      <c r="X55" s="6" t="s">
        <v>49</v>
      </c>
      <c r="Y55" s="6" t="s">
        <v>143</v>
      </c>
      <c r="Z55" s="8">
        <v>35685.629999999997</v>
      </c>
      <c r="AA55" s="9"/>
      <c r="AB55" s="8">
        <v>2305644.6800000002</v>
      </c>
      <c r="AC55" s="6" t="s">
        <v>42</v>
      </c>
      <c r="AD55" s="6" t="s">
        <v>143</v>
      </c>
      <c r="AE55" s="6" t="s">
        <v>457</v>
      </c>
    </row>
    <row r="56" spans="1:31">
      <c r="A56" s="4"/>
      <c r="B56" s="4"/>
      <c r="C56" s="4"/>
      <c r="D56" s="6" t="s">
        <v>27</v>
      </c>
      <c r="E56" s="6" t="s">
        <v>28</v>
      </c>
      <c r="F56" s="6" t="s">
        <v>29</v>
      </c>
      <c r="G56" s="6" t="s">
        <v>30</v>
      </c>
      <c r="H56" s="6" t="s">
        <v>31</v>
      </c>
      <c r="I56" s="6" t="s">
        <v>32</v>
      </c>
      <c r="J56" s="6" t="s">
        <v>33</v>
      </c>
      <c r="K56" s="6" t="s">
        <v>34</v>
      </c>
      <c r="L56" s="6" t="s">
        <v>35</v>
      </c>
      <c r="M56" s="8">
        <v>2776035.44</v>
      </c>
      <c r="N56" s="6" t="s">
        <v>36</v>
      </c>
      <c r="O56" s="8">
        <v>2776035.44</v>
      </c>
      <c r="P56" s="6" t="s">
        <v>36</v>
      </c>
      <c r="Q56" s="8">
        <v>2782295.31</v>
      </c>
      <c r="R56" s="6" t="s">
        <v>37</v>
      </c>
      <c r="S56" s="8">
        <v>2782295.31</v>
      </c>
      <c r="T56" s="6" t="s">
        <v>37</v>
      </c>
      <c r="U56" s="6" t="s">
        <v>169</v>
      </c>
      <c r="V56" s="6" t="s">
        <v>170</v>
      </c>
      <c r="W56" s="6" t="s">
        <v>48</v>
      </c>
      <c r="X56" s="6" t="s">
        <v>49</v>
      </c>
      <c r="Y56" s="6" t="s">
        <v>143</v>
      </c>
      <c r="Z56" s="8">
        <v>3129.3</v>
      </c>
      <c r="AA56" s="9"/>
      <c r="AB56" s="8">
        <v>2269959.0499999998</v>
      </c>
      <c r="AC56" s="6" t="s">
        <v>42</v>
      </c>
      <c r="AD56" s="6" t="s">
        <v>143</v>
      </c>
      <c r="AE56" s="6" t="s">
        <v>457</v>
      </c>
    </row>
    <row r="57" spans="1:31">
      <c r="A57" s="4"/>
      <c r="B57" s="4"/>
      <c r="C57" s="4"/>
      <c r="D57" s="6" t="s">
        <v>27</v>
      </c>
      <c r="E57" s="6" t="s">
        <v>28</v>
      </c>
      <c r="F57" s="6" t="s">
        <v>29</v>
      </c>
      <c r="G57" s="6" t="s">
        <v>30</v>
      </c>
      <c r="H57" s="6" t="s">
        <v>31</v>
      </c>
      <c r="I57" s="6" t="s">
        <v>32</v>
      </c>
      <c r="J57" s="6" t="s">
        <v>33</v>
      </c>
      <c r="K57" s="6" t="s">
        <v>34</v>
      </c>
      <c r="L57" s="6" t="s">
        <v>35</v>
      </c>
      <c r="M57" s="8">
        <v>2776035.44</v>
      </c>
      <c r="N57" s="6" t="s">
        <v>36</v>
      </c>
      <c r="O57" s="8">
        <v>2776035.44</v>
      </c>
      <c r="P57" s="6" t="s">
        <v>36</v>
      </c>
      <c r="Q57" s="8">
        <v>2782295.31</v>
      </c>
      <c r="R57" s="6" t="s">
        <v>37</v>
      </c>
      <c r="S57" s="8">
        <v>2782295.31</v>
      </c>
      <c r="T57" s="6" t="s">
        <v>37</v>
      </c>
      <c r="U57" s="6" t="s">
        <v>171</v>
      </c>
      <c r="V57" s="6" t="s">
        <v>172</v>
      </c>
      <c r="W57" s="6" t="s">
        <v>173</v>
      </c>
      <c r="X57" s="6" t="s">
        <v>174</v>
      </c>
      <c r="Y57" s="6" t="s">
        <v>143</v>
      </c>
      <c r="Z57" s="8">
        <v>18798.12</v>
      </c>
      <c r="AA57" s="9"/>
      <c r="AB57" s="8">
        <v>2266829.75</v>
      </c>
      <c r="AC57" s="6" t="s">
        <v>42</v>
      </c>
      <c r="AD57" s="6" t="s">
        <v>143</v>
      </c>
      <c r="AE57" s="6" t="s">
        <v>457</v>
      </c>
    </row>
    <row r="58" spans="1:31">
      <c r="A58" s="4"/>
      <c r="B58" s="4"/>
      <c r="C58" s="4"/>
      <c r="D58" s="6" t="s">
        <v>27</v>
      </c>
      <c r="E58" s="6" t="s">
        <v>28</v>
      </c>
      <c r="F58" s="6" t="s">
        <v>29</v>
      </c>
      <c r="G58" s="6" t="s">
        <v>30</v>
      </c>
      <c r="H58" s="6" t="s">
        <v>31</v>
      </c>
      <c r="I58" s="6" t="s">
        <v>32</v>
      </c>
      <c r="J58" s="6" t="s">
        <v>33</v>
      </c>
      <c r="K58" s="6" t="s">
        <v>34</v>
      </c>
      <c r="L58" s="6" t="s">
        <v>35</v>
      </c>
      <c r="M58" s="8">
        <v>2776035.44</v>
      </c>
      <c r="N58" s="6" t="s">
        <v>36</v>
      </c>
      <c r="O58" s="8">
        <v>2776035.44</v>
      </c>
      <c r="P58" s="6" t="s">
        <v>36</v>
      </c>
      <c r="Q58" s="8">
        <v>2782295.31</v>
      </c>
      <c r="R58" s="6" t="s">
        <v>37</v>
      </c>
      <c r="S58" s="8">
        <v>2782295.31</v>
      </c>
      <c r="T58" s="6" t="s">
        <v>37</v>
      </c>
      <c r="U58" s="6" t="s">
        <v>175</v>
      </c>
      <c r="V58" s="6" t="s">
        <v>176</v>
      </c>
      <c r="W58" s="6" t="s">
        <v>48</v>
      </c>
      <c r="X58" s="6" t="s">
        <v>49</v>
      </c>
      <c r="Y58" s="6" t="s">
        <v>143</v>
      </c>
      <c r="Z58" s="8">
        <v>8300</v>
      </c>
      <c r="AA58" s="9"/>
      <c r="AB58" s="8">
        <v>2248031.63</v>
      </c>
      <c r="AC58" s="6" t="s">
        <v>42</v>
      </c>
      <c r="AD58" s="6" t="s">
        <v>143</v>
      </c>
      <c r="AE58" s="6" t="s">
        <v>457</v>
      </c>
    </row>
    <row r="59" spans="1:31">
      <c r="A59" s="4"/>
      <c r="B59" s="4"/>
      <c r="C59" s="4"/>
      <c r="D59" s="6" t="s">
        <v>27</v>
      </c>
      <c r="E59" s="6" t="s">
        <v>28</v>
      </c>
      <c r="F59" s="6" t="s">
        <v>29</v>
      </c>
      <c r="G59" s="6" t="s">
        <v>30</v>
      </c>
      <c r="H59" s="6" t="s">
        <v>31</v>
      </c>
      <c r="I59" s="6" t="s">
        <v>32</v>
      </c>
      <c r="J59" s="6" t="s">
        <v>33</v>
      </c>
      <c r="K59" s="6" t="s">
        <v>34</v>
      </c>
      <c r="L59" s="6" t="s">
        <v>35</v>
      </c>
      <c r="M59" s="8">
        <v>2776035.44</v>
      </c>
      <c r="N59" s="6" t="s">
        <v>36</v>
      </c>
      <c r="O59" s="8">
        <v>2776035.44</v>
      </c>
      <c r="P59" s="6" t="s">
        <v>36</v>
      </c>
      <c r="Q59" s="8">
        <v>2782295.31</v>
      </c>
      <c r="R59" s="6" t="s">
        <v>37</v>
      </c>
      <c r="S59" s="8">
        <v>2782295.31</v>
      </c>
      <c r="T59" s="6" t="s">
        <v>37</v>
      </c>
      <c r="U59" s="6" t="s">
        <v>177</v>
      </c>
      <c r="V59" s="6" t="s">
        <v>178</v>
      </c>
      <c r="W59" s="6" t="s">
        <v>67</v>
      </c>
      <c r="X59" s="6" t="s">
        <v>68</v>
      </c>
      <c r="Y59" s="6" t="s">
        <v>143</v>
      </c>
      <c r="Z59" s="8">
        <v>1578.98</v>
      </c>
      <c r="AA59" s="9"/>
      <c r="AB59" s="8">
        <v>2239731.63</v>
      </c>
      <c r="AC59" s="6" t="s">
        <v>42</v>
      </c>
      <c r="AD59" s="6" t="s">
        <v>143</v>
      </c>
      <c r="AE59" s="6" t="s">
        <v>457</v>
      </c>
    </row>
    <row r="60" spans="1:31">
      <c r="A60" s="4"/>
      <c r="B60" s="4"/>
      <c r="C60" s="4"/>
      <c r="D60" s="6" t="s">
        <v>27</v>
      </c>
      <c r="E60" s="6" t="s">
        <v>28</v>
      </c>
      <c r="F60" s="6" t="s">
        <v>29</v>
      </c>
      <c r="G60" s="6" t="s">
        <v>30</v>
      </c>
      <c r="H60" s="6" t="s">
        <v>31</v>
      </c>
      <c r="I60" s="6" t="s">
        <v>32</v>
      </c>
      <c r="J60" s="6" t="s">
        <v>33</v>
      </c>
      <c r="K60" s="6" t="s">
        <v>34</v>
      </c>
      <c r="L60" s="6" t="s">
        <v>35</v>
      </c>
      <c r="M60" s="8">
        <v>2776035.44</v>
      </c>
      <c r="N60" s="6" t="s">
        <v>36</v>
      </c>
      <c r="O60" s="8">
        <v>2776035.44</v>
      </c>
      <c r="P60" s="6" t="s">
        <v>36</v>
      </c>
      <c r="Q60" s="8">
        <v>2782295.31</v>
      </c>
      <c r="R60" s="6" t="s">
        <v>37</v>
      </c>
      <c r="S60" s="8">
        <v>2782295.31</v>
      </c>
      <c r="T60" s="6" t="s">
        <v>37</v>
      </c>
      <c r="U60" s="6" t="s">
        <v>179</v>
      </c>
      <c r="V60" s="6" t="s">
        <v>180</v>
      </c>
      <c r="W60" s="6" t="s">
        <v>181</v>
      </c>
      <c r="X60" s="6" t="s">
        <v>68</v>
      </c>
      <c r="Y60" s="6" t="s">
        <v>143</v>
      </c>
      <c r="Z60" s="8">
        <v>17605.169999999998</v>
      </c>
      <c r="AA60" s="9"/>
      <c r="AB60" s="8">
        <v>2238152.65</v>
      </c>
      <c r="AC60" s="6" t="s">
        <v>42</v>
      </c>
      <c r="AD60" s="6" t="s">
        <v>143</v>
      </c>
      <c r="AE60" s="6" t="s">
        <v>457</v>
      </c>
    </row>
    <row r="61" spans="1:31">
      <c r="A61" s="4"/>
      <c r="B61" s="4"/>
      <c r="C61" s="4"/>
      <c r="D61" s="6" t="s">
        <v>27</v>
      </c>
      <c r="E61" s="6" t="s">
        <v>28</v>
      </c>
      <c r="F61" s="6" t="s">
        <v>29</v>
      </c>
      <c r="G61" s="6" t="s">
        <v>30</v>
      </c>
      <c r="H61" s="6" t="s">
        <v>31</v>
      </c>
      <c r="I61" s="6" t="s">
        <v>32</v>
      </c>
      <c r="J61" s="6" t="s">
        <v>33</v>
      </c>
      <c r="K61" s="6" t="s">
        <v>34</v>
      </c>
      <c r="L61" s="6" t="s">
        <v>35</v>
      </c>
      <c r="M61" s="8">
        <v>2776035.44</v>
      </c>
      <c r="N61" s="6" t="s">
        <v>36</v>
      </c>
      <c r="O61" s="8">
        <v>2776035.44</v>
      </c>
      <c r="P61" s="6" t="s">
        <v>36</v>
      </c>
      <c r="Q61" s="8">
        <v>2782295.31</v>
      </c>
      <c r="R61" s="6" t="s">
        <v>37</v>
      </c>
      <c r="S61" s="8">
        <v>2782295.31</v>
      </c>
      <c r="T61" s="6" t="s">
        <v>37</v>
      </c>
      <c r="U61" s="6" t="s">
        <v>182</v>
      </c>
      <c r="V61" s="6" t="s">
        <v>183</v>
      </c>
      <c r="W61" s="6" t="s">
        <v>184</v>
      </c>
      <c r="X61" s="6" t="s">
        <v>41</v>
      </c>
      <c r="Y61" s="6" t="s">
        <v>185</v>
      </c>
      <c r="Z61" s="8">
        <v>20253.88</v>
      </c>
      <c r="AA61" s="9"/>
      <c r="AB61" s="8">
        <v>2220547.48</v>
      </c>
      <c r="AC61" s="6" t="s">
        <v>42</v>
      </c>
      <c r="AD61" s="6" t="s">
        <v>185</v>
      </c>
      <c r="AE61" s="6" t="s">
        <v>457</v>
      </c>
    </row>
    <row r="62" spans="1:31">
      <c r="A62" s="4"/>
      <c r="B62" s="4"/>
      <c r="C62" s="4"/>
      <c r="D62" s="6" t="s">
        <v>27</v>
      </c>
      <c r="E62" s="6" t="s">
        <v>28</v>
      </c>
      <c r="F62" s="6" t="s">
        <v>29</v>
      </c>
      <c r="G62" s="6" t="s">
        <v>30</v>
      </c>
      <c r="H62" s="6" t="s">
        <v>31</v>
      </c>
      <c r="I62" s="6" t="s">
        <v>32</v>
      </c>
      <c r="J62" s="6" t="s">
        <v>33</v>
      </c>
      <c r="K62" s="6" t="s">
        <v>34</v>
      </c>
      <c r="L62" s="6" t="s">
        <v>35</v>
      </c>
      <c r="M62" s="8">
        <v>2776035.44</v>
      </c>
      <c r="N62" s="6" t="s">
        <v>36</v>
      </c>
      <c r="O62" s="8">
        <v>2776035.44</v>
      </c>
      <c r="P62" s="6" t="s">
        <v>36</v>
      </c>
      <c r="Q62" s="8">
        <v>2782295.31</v>
      </c>
      <c r="R62" s="6" t="s">
        <v>37</v>
      </c>
      <c r="S62" s="8">
        <v>2782295.31</v>
      </c>
      <c r="T62" s="6" t="s">
        <v>37</v>
      </c>
      <c r="U62" s="6" t="s">
        <v>186</v>
      </c>
      <c r="V62" s="6" t="s">
        <v>187</v>
      </c>
      <c r="W62" s="6" t="s">
        <v>188</v>
      </c>
      <c r="X62" s="6" t="s">
        <v>41</v>
      </c>
      <c r="Y62" s="6" t="s">
        <v>185</v>
      </c>
      <c r="Z62" s="8">
        <v>5342.35</v>
      </c>
      <c r="AA62" s="9"/>
      <c r="AB62" s="8">
        <v>2200293.6</v>
      </c>
      <c r="AC62" s="6" t="s">
        <v>42</v>
      </c>
      <c r="AD62" s="6" t="s">
        <v>185</v>
      </c>
      <c r="AE62" s="6" t="s">
        <v>457</v>
      </c>
    </row>
    <row r="63" spans="1:31">
      <c r="A63" s="4"/>
      <c r="B63" s="4"/>
      <c r="C63" s="4"/>
      <c r="D63" s="6" t="s">
        <v>27</v>
      </c>
      <c r="E63" s="6" t="s">
        <v>28</v>
      </c>
      <c r="F63" s="6" t="s">
        <v>29</v>
      </c>
      <c r="G63" s="6" t="s">
        <v>30</v>
      </c>
      <c r="H63" s="6" t="s">
        <v>31</v>
      </c>
      <c r="I63" s="6" t="s">
        <v>32</v>
      </c>
      <c r="J63" s="6" t="s">
        <v>33</v>
      </c>
      <c r="K63" s="6" t="s">
        <v>34</v>
      </c>
      <c r="L63" s="6" t="s">
        <v>35</v>
      </c>
      <c r="M63" s="8">
        <v>2776035.44</v>
      </c>
      <c r="N63" s="6" t="s">
        <v>36</v>
      </c>
      <c r="O63" s="8">
        <v>2776035.44</v>
      </c>
      <c r="P63" s="6" t="s">
        <v>36</v>
      </c>
      <c r="Q63" s="8">
        <v>2782295.31</v>
      </c>
      <c r="R63" s="6" t="s">
        <v>37</v>
      </c>
      <c r="S63" s="8">
        <v>2782295.31</v>
      </c>
      <c r="T63" s="6" t="s">
        <v>37</v>
      </c>
      <c r="U63" s="6" t="s">
        <v>189</v>
      </c>
      <c r="V63" s="6" t="s">
        <v>190</v>
      </c>
      <c r="W63" s="6" t="s">
        <v>191</v>
      </c>
      <c r="X63" s="6" t="s">
        <v>41</v>
      </c>
      <c r="Y63" s="6" t="s">
        <v>192</v>
      </c>
      <c r="Z63" s="8">
        <v>132.08000000000001</v>
      </c>
      <c r="AA63" s="9"/>
      <c r="AB63" s="8">
        <v>2194951.25</v>
      </c>
      <c r="AC63" s="6" t="s">
        <v>42</v>
      </c>
      <c r="AD63" s="6" t="s">
        <v>192</v>
      </c>
      <c r="AE63" s="6" t="s">
        <v>457</v>
      </c>
    </row>
    <row r="64" spans="1:31">
      <c r="A64" s="4"/>
      <c r="B64" s="4"/>
      <c r="C64" s="4"/>
      <c r="D64" s="6" t="s">
        <v>27</v>
      </c>
      <c r="E64" s="6" t="s">
        <v>28</v>
      </c>
      <c r="F64" s="6" t="s">
        <v>29</v>
      </c>
      <c r="G64" s="6" t="s">
        <v>30</v>
      </c>
      <c r="H64" s="6" t="s">
        <v>31</v>
      </c>
      <c r="I64" s="6" t="s">
        <v>32</v>
      </c>
      <c r="J64" s="6" t="s">
        <v>33</v>
      </c>
      <c r="K64" s="6" t="s">
        <v>34</v>
      </c>
      <c r="L64" s="6" t="s">
        <v>35</v>
      </c>
      <c r="M64" s="8">
        <v>2776035.44</v>
      </c>
      <c r="N64" s="6" t="s">
        <v>36</v>
      </c>
      <c r="O64" s="8">
        <v>2776035.44</v>
      </c>
      <c r="P64" s="6" t="s">
        <v>36</v>
      </c>
      <c r="Q64" s="8">
        <v>2782295.31</v>
      </c>
      <c r="R64" s="6" t="s">
        <v>37</v>
      </c>
      <c r="S64" s="8">
        <v>2782295.31</v>
      </c>
      <c r="T64" s="6" t="s">
        <v>37</v>
      </c>
      <c r="U64" s="6" t="s">
        <v>193</v>
      </c>
      <c r="V64" s="6" t="s">
        <v>194</v>
      </c>
      <c r="W64" s="6" t="s">
        <v>195</v>
      </c>
      <c r="X64" s="6" t="s">
        <v>41</v>
      </c>
      <c r="Y64" s="6" t="s">
        <v>192</v>
      </c>
      <c r="Z64" s="8">
        <v>17957.52</v>
      </c>
      <c r="AA64" s="9"/>
      <c r="AB64" s="8">
        <v>2194819.17</v>
      </c>
      <c r="AC64" s="6" t="s">
        <v>42</v>
      </c>
      <c r="AD64" s="6" t="s">
        <v>192</v>
      </c>
      <c r="AE64" s="6" t="s">
        <v>457</v>
      </c>
    </row>
    <row r="65" spans="1:31">
      <c r="A65" s="4"/>
      <c r="B65" s="4"/>
      <c r="C65" s="4"/>
      <c r="D65" s="6" t="s">
        <v>27</v>
      </c>
      <c r="E65" s="6" t="s">
        <v>28</v>
      </c>
      <c r="F65" s="6" t="s">
        <v>29</v>
      </c>
      <c r="G65" s="6" t="s">
        <v>30</v>
      </c>
      <c r="H65" s="6" t="s">
        <v>31</v>
      </c>
      <c r="I65" s="6" t="s">
        <v>32</v>
      </c>
      <c r="J65" s="6" t="s">
        <v>33</v>
      </c>
      <c r="K65" s="6" t="s">
        <v>34</v>
      </c>
      <c r="L65" s="6" t="s">
        <v>35</v>
      </c>
      <c r="M65" s="8">
        <v>2776035.44</v>
      </c>
      <c r="N65" s="6" t="s">
        <v>36</v>
      </c>
      <c r="O65" s="8">
        <v>2776035.44</v>
      </c>
      <c r="P65" s="6" t="s">
        <v>36</v>
      </c>
      <c r="Q65" s="8">
        <v>2782295.31</v>
      </c>
      <c r="R65" s="6" t="s">
        <v>37</v>
      </c>
      <c r="S65" s="8">
        <v>2782295.31</v>
      </c>
      <c r="T65" s="6" t="s">
        <v>37</v>
      </c>
      <c r="U65" s="6" t="s">
        <v>196</v>
      </c>
      <c r="V65" s="6" t="s">
        <v>197</v>
      </c>
      <c r="W65" s="6" t="s">
        <v>198</v>
      </c>
      <c r="X65" s="6" t="s">
        <v>41</v>
      </c>
      <c r="Y65" s="6" t="s">
        <v>192</v>
      </c>
      <c r="Z65" s="8">
        <v>19697.580000000002</v>
      </c>
      <c r="AA65" s="9"/>
      <c r="AB65" s="8">
        <v>2176861.65</v>
      </c>
      <c r="AC65" s="6" t="s">
        <v>42</v>
      </c>
      <c r="AD65" s="6" t="s">
        <v>192</v>
      </c>
      <c r="AE65" s="6" t="s">
        <v>457</v>
      </c>
    </row>
    <row r="66" spans="1:31">
      <c r="A66" s="4"/>
      <c r="B66" s="4"/>
      <c r="C66" s="4"/>
      <c r="D66" s="6" t="s">
        <v>27</v>
      </c>
      <c r="E66" s="6" t="s">
        <v>28</v>
      </c>
      <c r="F66" s="6" t="s">
        <v>29</v>
      </c>
      <c r="G66" s="6" t="s">
        <v>30</v>
      </c>
      <c r="H66" s="6" t="s">
        <v>31</v>
      </c>
      <c r="I66" s="6" t="s">
        <v>32</v>
      </c>
      <c r="J66" s="6" t="s">
        <v>33</v>
      </c>
      <c r="K66" s="6" t="s">
        <v>34</v>
      </c>
      <c r="L66" s="6" t="s">
        <v>35</v>
      </c>
      <c r="M66" s="8">
        <v>2776035.44</v>
      </c>
      <c r="N66" s="6" t="s">
        <v>36</v>
      </c>
      <c r="O66" s="8">
        <v>2776035.44</v>
      </c>
      <c r="P66" s="6" t="s">
        <v>36</v>
      </c>
      <c r="Q66" s="8">
        <v>2782295.31</v>
      </c>
      <c r="R66" s="6" t="s">
        <v>37</v>
      </c>
      <c r="S66" s="8">
        <v>2782295.31</v>
      </c>
      <c r="T66" s="6" t="s">
        <v>37</v>
      </c>
      <c r="U66" s="6" t="s">
        <v>199</v>
      </c>
      <c r="V66" s="6" t="s">
        <v>200</v>
      </c>
      <c r="W66" s="6" t="s">
        <v>48</v>
      </c>
      <c r="X66" s="6" t="s">
        <v>49</v>
      </c>
      <c r="Y66" s="6" t="s">
        <v>192</v>
      </c>
      <c r="Z66" s="8">
        <v>6742.93</v>
      </c>
      <c r="AA66" s="9"/>
      <c r="AB66" s="8">
        <v>2157164.0699999998</v>
      </c>
      <c r="AC66" s="6" t="s">
        <v>42</v>
      </c>
      <c r="AD66" s="6" t="s">
        <v>192</v>
      </c>
      <c r="AE66" s="6" t="s">
        <v>457</v>
      </c>
    </row>
    <row r="67" spans="1:31">
      <c r="A67" s="4"/>
      <c r="B67" s="4"/>
      <c r="C67" s="4"/>
      <c r="D67" s="6" t="s">
        <v>27</v>
      </c>
      <c r="E67" s="6" t="s">
        <v>28</v>
      </c>
      <c r="F67" s="6" t="s">
        <v>29</v>
      </c>
      <c r="G67" s="6" t="s">
        <v>30</v>
      </c>
      <c r="H67" s="6" t="s">
        <v>31</v>
      </c>
      <c r="I67" s="6" t="s">
        <v>32</v>
      </c>
      <c r="J67" s="6" t="s">
        <v>33</v>
      </c>
      <c r="K67" s="6" t="s">
        <v>34</v>
      </c>
      <c r="L67" s="6" t="s">
        <v>35</v>
      </c>
      <c r="M67" s="8">
        <v>2776035.44</v>
      </c>
      <c r="N67" s="6" t="s">
        <v>36</v>
      </c>
      <c r="O67" s="8">
        <v>2776035.44</v>
      </c>
      <c r="P67" s="6" t="s">
        <v>36</v>
      </c>
      <c r="Q67" s="8">
        <v>2782295.31</v>
      </c>
      <c r="R67" s="6" t="s">
        <v>37</v>
      </c>
      <c r="S67" s="8">
        <v>2782295.31</v>
      </c>
      <c r="T67" s="6" t="s">
        <v>37</v>
      </c>
      <c r="U67" s="6" t="s">
        <v>201</v>
      </c>
      <c r="V67" s="6" t="s">
        <v>202</v>
      </c>
      <c r="W67" s="6" t="s">
        <v>48</v>
      </c>
      <c r="X67" s="6" t="s">
        <v>49</v>
      </c>
      <c r="Y67" s="6" t="s">
        <v>192</v>
      </c>
      <c r="Z67" s="8">
        <v>13583.13</v>
      </c>
      <c r="AA67" s="9"/>
      <c r="AB67" s="8">
        <v>2150421.14</v>
      </c>
      <c r="AC67" s="6" t="s">
        <v>42</v>
      </c>
      <c r="AD67" s="6" t="s">
        <v>192</v>
      </c>
      <c r="AE67" s="6" t="s">
        <v>457</v>
      </c>
    </row>
    <row r="68" spans="1:31">
      <c r="A68" s="4"/>
      <c r="B68" s="4"/>
      <c r="C68" s="4"/>
      <c r="D68" s="6" t="s">
        <v>27</v>
      </c>
      <c r="E68" s="6" t="s">
        <v>28</v>
      </c>
      <c r="F68" s="6" t="s">
        <v>29</v>
      </c>
      <c r="G68" s="6" t="s">
        <v>30</v>
      </c>
      <c r="H68" s="6" t="s">
        <v>31</v>
      </c>
      <c r="I68" s="6" t="s">
        <v>32</v>
      </c>
      <c r="J68" s="6" t="s">
        <v>33</v>
      </c>
      <c r="K68" s="6" t="s">
        <v>34</v>
      </c>
      <c r="L68" s="6" t="s">
        <v>35</v>
      </c>
      <c r="M68" s="8">
        <v>2776035.44</v>
      </c>
      <c r="N68" s="6" t="s">
        <v>36</v>
      </c>
      <c r="O68" s="8">
        <v>2776035.44</v>
      </c>
      <c r="P68" s="6" t="s">
        <v>36</v>
      </c>
      <c r="Q68" s="8">
        <v>2782295.31</v>
      </c>
      <c r="R68" s="6" t="s">
        <v>37</v>
      </c>
      <c r="S68" s="8">
        <v>2782295.31</v>
      </c>
      <c r="T68" s="6" t="s">
        <v>37</v>
      </c>
      <c r="U68" s="6" t="s">
        <v>203</v>
      </c>
      <c r="V68" s="6" t="s">
        <v>204</v>
      </c>
      <c r="W68" s="6" t="s">
        <v>48</v>
      </c>
      <c r="X68" s="6" t="s">
        <v>49</v>
      </c>
      <c r="Y68" s="6" t="s">
        <v>192</v>
      </c>
      <c r="Z68" s="8">
        <v>14559</v>
      </c>
      <c r="AA68" s="9"/>
      <c r="AB68" s="8">
        <v>2136838.0099999998</v>
      </c>
      <c r="AC68" s="6" t="s">
        <v>42</v>
      </c>
      <c r="AD68" s="6" t="s">
        <v>192</v>
      </c>
      <c r="AE68" s="6" t="s">
        <v>457</v>
      </c>
    </row>
    <row r="69" spans="1:31">
      <c r="A69" s="4"/>
      <c r="B69" s="4"/>
      <c r="C69" s="4"/>
      <c r="D69" s="6" t="s">
        <v>27</v>
      </c>
      <c r="E69" s="6" t="s">
        <v>28</v>
      </c>
      <c r="F69" s="6" t="s">
        <v>29</v>
      </c>
      <c r="G69" s="6" t="s">
        <v>30</v>
      </c>
      <c r="H69" s="6" t="s">
        <v>31</v>
      </c>
      <c r="I69" s="6" t="s">
        <v>32</v>
      </c>
      <c r="J69" s="6" t="s">
        <v>33</v>
      </c>
      <c r="K69" s="6" t="s">
        <v>34</v>
      </c>
      <c r="L69" s="6" t="s">
        <v>35</v>
      </c>
      <c r="M69" s="8">
        <v>2776035.44</v>
      </c>
      <c r="N69" s="6" t="s">
        <v>36</v>
      </c>
      <c r="O69" s="8">
        <v>2776035.44</v>
      </c>
      <c r="P69" s="6" t="s">
        <v>36</v>
      </c>
      <c r="Q69" s="8">
        <v>2782295.31</v>
      </c>
      <c r="R69" s="6" t="s">
        <v>37</v>
      </c>
      <c r="S69" s="8">
        <v>2782295.31</v>
      </c>
      <c r="T69" s="6" t="s">
        <v>37</v>
      </c>
      <c r="U69" s="6" t="s">
        <v>205</v>
      </c>
      <c r="V69" s="6" t="s">
        <v>206</v>
      </c>
      <c r="W69" s="6" t="s">
        <v>48</v>
      </c>
      <c r="X69" s="6" t="s">
        <v>49</v>
      </c>
      <c r="Y69" s="6" t="s">
        <v>192</v>
      </c>
      <c r="Z69" s="8">
        <v>19125.57</v>
      </c>
      <c r="AA69" s="9"/>
      <c r="AB69" s="8">
        <v>2122279.0099999998</v>
      </c>
      <c r="AC69" s="6" t="s">
        <v>42</v>
      </c>
      <c r="AD69" s="6" t="s">
        <v>192</v>
      </c>
      <c r="AE69" s="6" t="s">
        <v>457</v>
      </c>
    </row>
    <row r="70" spans="1:31">
      <c r="A70" s="4"/>
      <c r="B70" s="4"/>
      <c r="C70" s="4"/>
      <c r="D70" s="6" t="s">
        <v>27</v>
      </c>
      <c r="E70" s="6" t="s">
        <v>28</v>
      </c>
      <c r="F70" s="6" t="s">
        <v>29</v>
      </c>
      <c r="G70" s="6" t="s">
        <v>30</v>
      </c>
      <c r="H70" s="6" t="s">
        <v>31</v>
      </c>
      <c r="I70" s="6" t="s">
        <v>32</v>
      </c>
      <c r="J70" s="6" t="s">
        <v>33</v>
      </c>
      <c r="K70" s="6" t="s">
        <v>34</v>
      </c>
      <c r="L70" s="6" t="s">
        <v>35</v>
      </c>
      <c r="M70" s="8">
        <v>2776035.44</v>
      </c>
      <c r="N70" s="6" t="s">
        <v>36</v>
      </c>
      <c r="O70" s="8">
        <v>2776035.44</v>
      </c>
      <c r="P70" s="6" t="s">
        <v>36</v>
      </c>
      <c r="Q70" s="8">
        <v>2782295.31</v>
      </c>
      <c r="R70" s="6" t="s">
        <v>37</v>
      </c>
      <c r="S70" s="8">
        <v>2782295.31</v>
      </c>
      <c r="T70" s="6" t="s">
        <v>37</v>
      </c>
      <c r="U70" s="6" t="s">
        <v>207</v>
      </c>
      <c r="V70" s="6" t="s">
        <v>208</v>
      </c>
      <c r="W70" s="6" t="s">
        <v>48</v>
      </c>
      <c r="X70" s="6" t="s">
        <v>49</v>
      </c>
      <c r="Y70" s="6" t="s">
        <v>192</v>
      </c>
      <c r="Z70" s="8">
        <v>4246.42</v>
      </c>
      <c r="AA70" s="9"/>
      <c r="AB70" s="8">
        <v>2103153.44</v>
      </c>
      <c r="AC70" s="6" t="s">
        <v>42</v>
      </c>
      <c r="AD70" s="6" t="s">
        <v>192</v>
      </c>
      <c r="AE70" s="6" t="s">
        <v>457</v>
      </c>
    </row>
    <row r="71" spans="1:31">
      <c r="A71" s="4"/>
      <c r="B71" s="4"/>
      <c r="C71" s="4"/>
      <c r="D71" s="6" t="s">
        <v>27</v>
      </c>
      <c r="E71" s="6" t="s">
        <v>28</v>
      </c>
      <c r="F71" s="6" t="s">
        <v>29</v>
      </c>
      <c r="G71" s="6" t="s">
        <v>30</v>
      </c>
      <c r="H71" s="6" t="s">
        <v>31</v>
      </c>
      <c r="I71" s="6" t="s">
        <v>32</v>
      </c>
      <c r="J71" s="6" t="s">
        <v>33</v>
      </c>
      <c r="K71" s="6" t="s">
        <v>34</v>
      </c>
      <c r="L71" s="6" t="s">
        <v>35</v>
      </c>
      <c r="M71" s="8">
        <v>2776035.44</v>
      </c>
      <c r="N71" s="6" t="s">
        <v>36</v>
      </c>
      <c r="O71" s="8">
        <v>2776035.44</v>
      </c>
      <c r="P71" s="6" t="s">
        <v>36</v>
      </c>
      <c r="Q71" s="8">
        <v>2782295.31</v>
      </c>
      <c r="R71" s="6" t="s">
        <v>37</v>
      </c>
      <c r="S71" s="8">
        <v>2782295.31</v>
      </c>
      <c r="T71" s="6" t="s">
        <v>37</v>
      </c>
      <c r="U71" s="6" t="s">
        <v>209</v>
      </c>
      <c r="V71" s="6" t="s">
        <v>210</v>
      </c>
      <c r="W71" s="6" t="s">
        <v>48</v>
      </c>
      <c r="X71" s="6" t="s">
        <v>49</v>
      </c>
      <c r="Y71" s="6" t="s">
        <v>192</v>
      </c>
      <c r="Z71" s="8">
        <v>8656</v>
      </c>
      <c r="AA71" s="9"/>
      <c r="AB71" s="8">
        <v>2098907.02</v>
      </c>
      <c r="AC71" s="6" t="s">
        <v>42</v>
      </c>
      <c r="AD71" s="6" t="s">
        <v>192</v>
      </c>
      <c r="AE71" s="6" t="s">
        <v>457</v>
      </c>
    </row>
    <row r="72" spans="1:31">
      <c r="A72" s="4"/>
      <c r="B72" s="4"/>
      <c r="C72" s="4"/>
      <c r="D72" s="6" t="s">
        <v>27</v>
      </c>
      <c r="E72" s="6" t="s">
        <v>28</v>
      </c>
      <c r="F72" s="6" t="s">
        <v>29</v>
      </c>
      <c r="G72" s="6" t="s">
        <v>30</v>
      </c>
      <c r="H72" s="6" t="s">
        <v>31</v>
      </c>
      <c r="I72" s="6" t="s">
        <v>32</v>
      </c>
      <c r="J72" s="6" t="s">
        <v>33</v>
      </c>
      <c r="K72" s="6" t="s">
        <v>34</v>
      </c>
      <c r="L72" s="6" t="s">
        <v>35</v>
      </c>
      <c r="M72" s="8">
        <v>2776035.44</v>
      </c>
      <c r="N72" s="6" t="s">
        <v>36</v>
      </c>
      <c r="O72" s="8">
        <v>2776035.44</v>
      </c>
      <c r="P72" s="6" t="s">
        <v>36</v>
      </c>
      <c r="Q72" s="8">
        <v>2782295.31</v>
      </c>
      <c r="R72" s="6" t="s">
        <v>37</v>
      </c>
      <c r="S72" s="8">
        <v>2782295.31</v>
      </c>
      <c r="T72" s="6" t="s">
        <v>37</v>
      </c>
      <c r="U72" s="6" t="s">
        <v>211</v>
      </c>
      <c r="V72" s="6" t="s">
        <v>212</v>
      </c>
      <c r="W72" s="6" t="s">
        <v>48</v>
      </c>
      <c r="X72" s="6" t="s">
        <v>49</v>
      </c>
      <c r="Y72" s="6" t="s">
        <v>192</v>
      </c>
      <c r="Z72" s="8">
        <v>4955.59</v>
      </c>
      <c r="AA72" s="9"/>
      <c r="AB72" s="8">
        <v>2090251.02</v>
      </c>
      <c r="AC72" s="6" t="s">
        <v>42</v>
      </c>
      <c r="AD72" s="6" t="s">
        <v>192</v>
      </c>
      <c r="AE72" s="6" t="s">
        <v>457</v>
      </c>
    </row>
    <row r="73" spans="1:31">
      <c r="A73" s="4"/>
      <c r="B73" s="4"/>
      <c r="C73" s="4"/>
      <c r="D73" s="6" t="s">
        <v>27</v>
      </c>
      <c r="E73" s="6" t="s">
        <v>28</v>
      </c>
      <c r="F73" s="6" t="s">
        <v>29</v>
      </c>
      <c r="G73" s="6" t="s">
        <v>30</v>
      </c>
      <c r="H73" s="6" t="s">
        <v>31</v>
      </c>
      <c r="I73" s="6" t="s">
        <v>32</v>
      </c>
      <c r="J73" s="6" t="s">
        <v>33</v>
      </c>
      <c r="K73" s="6" t="s">
        <v>34</v>
      </c>
      <c r="L73" s="6" t="s">
        <v>35</v>
      </c>
      <c r="M73" s="8">
        <v>2776035.44</v>
      </c>
      <c r="N73" s="6" t="s">
        <v>36</v>
      </c>
      <c r="O73" s="8">
        <v>2776035.44</v>
      </c>
      <c r="P73" s="6" t="s">
        <v>36</v>
      </c>
      <c r="Q73" s="8">
        <v>2782295.31</v>
      </c>
      <c r="R73" s="6" t="s">
        <v>37</v>
      </c>
      <c r="S73" s="8">
        <v>2782295.31</v>
      </c>
      <c r="T73" s="6" t="s">
        <v>37</v>
      </c>
      <c r="U73" s="6" t="s">
        <v>213</v>
      </c>
      <c r="V73" s="6" t="s">
        <v>214</v>
      </c>
      <c r="W73" s="6" t="s">
        <v>67</v>
      </c>
      <c r="X73" s="6" t="s">
        <v>68</v>
      </c>
      <c r="Y73" s="6" t="s">
        <v>192</v>
      </c>
      <c r="Z73" s="8">
        <v>1767.01</v>
      </c>
      <c r="AA73" s="9"/>
      <c r="AB73" s="8">
        <v>2085295.43</v>
      </c>
      <c r="AC73" s="6" t="s">
        <v>42</v>
      </c>
      <c r="AD73" s="6" t="s">
        <v>192</v>
      </c>
      <c r="AE73" s="6" t="s">
        <v>457</v>
      </c>
    </row>
    <row r="74" spans="1:31">
      <c r="A74" s="4"/>
      <c r="B74" s="4"/>
      <c r="C74" s="4"/>
      <c r="D74" s="6" t="s">
        <v>27</v>
      </c>
      <c r="E74" s="6" t="s">
        <v>28</v>
      </c>
      <c r="F74" s="6" t="s">
        <v>29</v>
      </c>
      <c r="G74" s="6" t="s">
        <v>30</v>
      </c>
      <c r="H74" s="6" t="s">
        <v>31</v>
      </c>
      <c r="I74" s="6" t="s">
        <v>32</v>
      </c>
      <c r="J74" s="6" t="s">
        <v>33</v>
      </c>
      <c r="K74" s="6" t="s">
        <v>34</v>
      </c>
      <c r="L74" s="6" t="s">
        <v>35</v>
      </c>
      <c r="M74" s="8">
        <v>2776035.44</v>
      </c>
      <c r="N74" s="6" t="s">
        <v>36</v>
      </c>
      <c r="O74" s="8">
        <v>2776035.44</v>
      </c>
      <c r="P74" s="6" t="s">
        <v>36</v>
      </c>
      <c r="Q74" s="8">
        <v>2782295.31</v>
      </c>
      <c r="R74" s="6" t="s">
        <v>37</v>
      </c>
      <c r="S74" s="8">
        <v>2782295.31</v>
      </c>
      <c r="T74" s="6" t="s">
        <v>37</v>
      </c>
      <c r="U74" s="6" t="s">
        <v>215</v>
      </c>
      <c r="V74" s="6" t="s">
        <v>216</v>
      </c>
      <c r="W74" s="6" t="s">
        <v>217</v>
      </c>
      <c r="X74" s="6" t="s">
        <v>41</v>
      </c>
      <c r="Y74" s="6" t="s">
        <v>218</v>
      </c>
      <c r="Z74" s="8">
        <v>9375.57</v>
      </c>
      <c r="AA74" s="9"/>
      <c r="AB74" s="8">
        <v>2083528.42</v>
      </c>
      <c r="AC74" s="6" t="s">
        <v>42</v>
      </c>
      <c r="AD74" s="6" t="s">
        <v>218</v>
      </c>
      <c r="AE74" s="6" t="s">
        <v>457</v>
      </c>
    </row>
    <row r="75" spans="1:31">
      <c r="A75" s="4"/>
      <c r="B75" s="4"/>
      <c r="C75" s="4"/>
      <c r="D75" s="6" t="s">
        <v>27</v>
      </c>
      <c r="E75" s="6" t="s">
        <v>28</v>
      </c>
      <c r="F75" s="6" t="s">
        <v>29</v>
      </c>
      <c r="G75" s="6" t="s">
        <v>30</v>
      </c>
      <c r="H75" s="6" t="s">
        <v>31</v>
      </c>
      <c r="I75" s="6" t="s">
        <v>32</v>
      </c>
      <c r="J75" s="6" t="s">
        <v>33</v>
      </c>
      <c r="K75" s="6" t="s">
        <v>34</v>
      </c>
      <c r="L75" s="6" t="s">
        <v>35</v>
      </c>
      <c r="M75" s="8">
        <v>2776035.44</v>
      </c>
      <c r="N75" s="6" t="s">
        <v>36</v>
      </c>
      <c r="O75" s="8">
        <v>2776035.44</v>
      </c>
      <c r="P75" s="6" t="s">
        <v>36</v>
      </c>
      <c r="Q75" s="8">
        <v>2782295.31</v>
      </c>
      <c r="R75" s="6" t="s">
        <v>37</v>
      </c>
      <c r="S75" s="8">
        <v>2782295.31</v>
      </c>
      <c r="T75" s="6" t="s">
        <v>37</v>
      </c>
      <c r="U75" s="6" t="s">
        <v>219</v>
      </c>
      <c r="V75" s="6" t="s">
        <v>220</v>
      </c>
      <c r="W75" s="6" t="s">
        <v>221</v>
      </c>
      <c r="X75" s="6" t="s">
        <v>41</v>
      </c>
      <c r="Y75" s="6" t="s">
        <v>218</v>
      </c>
      <c r="Z75" s="8">
        <v>50</v>
      </c>
      <c r="AA75" s="9"/>
      <c r="AB75" s="8">
        <v>2074152.85</v>
      </c>
      <c r="AC75" s="6" t="s">
        <v>42</v>
      </c>
      <c r="AD75" s="6" t="s">
        <v>218</v>
      </c>
      <c r="AE75" s="6" t="s">
        <v>457</v>
      </c>
    </row>
    <row r="76" spans="1:31">
      <c r="A76" s="4"/>
      <c r="B76" s="4"/>
      <c r="C76" s="4"/>
      <c r="D76" s="6" t="s">
        <v>27</v>
      </c>
      <c r="E76" s="6" t="s">
        <v>28</v>
      </c>
      <c r="F76" s="6" t="s">
        <v>29</v>
      </c>
      <c r="G76" s="6" t="s">
        <v>30</v>
      </c>
      <c r="H76" s="6" t="s">
        <v>31</v>
      </c>
      <c r="I76" s="6" t="s">
        <v>32</v>
      </c>
      <c r="J76" s="6" t="s">
        <v>33</v>
      </c>
      <c r="K76" s="6" t="s">
        <v>34</v>
      </c>
      <c r="L76" s="6" t="s">
        <v>35</v>
      </c>
      <c r="M76" s="8">
        <v>2776035.44</v>
      </c>
      <c r="N76" s="6" t="s">
        <v>36</v>
      </c>
      <c r="O76" s="8">
        <v>2776035.44</v>
      </c>
      <c r="P76" s="6" t="s">
        <v>36</v>
      </c>
      <c r="Q76" s="8">
        <v>2782295.31</v>
      </c>
      <c r="R76" s="6" t="s">
        <v>37</v>
      </c>
      <c r="S76" s="8">
        <v>2782295.31</v>
      </c>
      <c r="T76" s="6" t="s">
        <v>37</v>
      </c>
      <c r="U76" s="6" t="s">
        <v>222</v>
      </c>
      <c r="V76" s="6" t="s">
        <v>223</v>
      </c>
      <c r="W76" s="6" t="s">
        <v>48</v>
      </c>
      <c r="X76" s="6" t="s">
        <v>49</v>
      </c>
      <c r="Y76" s="6" t="s">
        <v>218</v>
      </c>
      <c r="Z76" s="8">
        <v>4050.46</v>
      </c>
      <c r="AA76" s="9"/>
      <c r="AB76" s="8">
        <v>2074102.85</v>
      </c>
      <c r="AC76" s="6" t="s">
        <v>42</v>
      </c>
      <c r="AD76" s="6" t="s">
        <v>218</v>
      </c>
      <c r="AE76" s="6" t="s">
        <v>457</v>
      </c>
    </row>
    <row r="77" spans="1:31">
      <c r="A77" s="4"/>
      <c r="B77" s="4"/>
      <c r="C77" s="4"/>
      <c r="D77" s="6" t="s">
        <v>27</v>
      </c>
      <c r="E77" s="6" t="s">
        <v>28</v>
      </c>
      <c r="F77" s="6" t="s">
        <v>29</v>
      </c>
      <c r="G77" s="6" t="s">
        <v>30</v>
      </c>
      <c r="H77" s="6" t="s">
        <v>31</v>
      </c>
      <c r="I77" s="6" t="s">
        <v>32</v>
      </c>
      <c r="J77" s="6" t="s">
        <v>33</v>
      </c>
      <c r="K77" s="6" t="s">
        <v>34</v>
      </c>
      <c r="L77" s="6" t="s">
        <v>35</v>
      </c>
      <c r="M77" s="8">
        <v>2776035.44</v>
      </c>
      <c r="N77" s="6" t="s">
        <v>36</v>
      </c>
      <c r="O77" s="8">
        <v>2776035.44</v>
      </c>
      <c r="P77" s="6" t="s">
        <v>36</v>
      </c>
      <c r="Q77" s="8">
        <v>2782295.31</v>
      </c>
      <c r="R77" s="6" t="s">
        <v>37</v>
      </c>
      <c r="S77" s="8">
        <v>2782295.31</v>
      </c>
      <c r="T77" s="6" t="s">
        <v>37</v>
      </c>
      <c r="U77" s="6" t="s">
        <v>224</v>
      </c>
      <c r="V77" s="6" t="s">
        <v>225</v>
      </c>
      <c r="W77" s="6" t="s">
        <v>173</v>
      </c>
      <c r="X77" s="6" t="s">
        <v>174</v>
      </c>
      <c r="Y77" s="6" t="s">
        <v>218</v>
      </c>
      <c r="Z77" s="8">
        <v>181.49</v>
      </c>
      <c r="AA77" s="9"/>
      <c r="AB77" s="8">
        <v>2070052.39</v>
      </c>
      <c r="AC77" s="6" t="s">
        <v>42</v>
      </c>
      <c r="AD77" s="6" t="s">
        <v>218</v>
      </c>
      <c r="AE77" s="6" t="s">
        <v>457</v>
      </c>
    </row>
    <row r="78" spans="1:31">
      <c r="A78" s="4"/>
      <c r="B78" s="4"/>
      <c r="C78" s="4"/>
      <c r="D78" s="6" t="s">
        <v>27</v>
      </c>
      <c r="E78" s="6" t="s">
        <v>28</v>
      </c>
      <c r="F78" s="6" t="s">
        <v>29</v>
      </c>
      <c r="G78" s="6" t="s">
        <v>30</v>
      </c>
      <c r="H78" s="6" t="s">
        <v>31</v>
      </c>
      <c r="I78" s="6" t="s">
        <v>32</v>
      </c>
      <c r="J78" s="6" t="s">
        <v>33</v>
      </c>
      <c r="K78" s="6" t="s">
        <v>34</v>
      </c>
      <c r="L78" s="6" t="s">
        <v>35</v>
      </c>
      <c r="M78" s="8">
        <v>2776035.44</v>
      </c>
      <c r="N78" s="6" t="s">
        <v>36</v>
      </c>
      <c r="O78" s="8">
        <v>2776035.44</v>
      </c>
      <c r="P78" s="6" t="s">
        <v>36</v>
      </c>
      <c r="Q78" s="8">
        <v>2782295.31</v>
      </c>
      <c r="R78" s="6" t="s">
        <v>37</v>
      </c>
      <c r="S78" s="8">
        <v>2782295.31</v>
      </c>
      <c r="T78" s="6" t="s">
        <v>37</v>
      </c>
      <c r="U78" s="6" t="s">
        <v>226</v>
      </c>
      <c r="V78" s="6" t="s">
        <v>227</v>
      </c>
      <c r="W78" s="6" t="s">
        <v>48</v>
      </c>
      <c r="X78" s="6" t="s">
        <v>49</v>
      </c>
      <c r="Y78" s="6" t="s">
        <v>218</v>
      </c>
      <c r="Z78" s="8">
        <v>9917.86</v>
      </c>
      <c r="AA78" s="9"/>
      <c r="AB78" s="8">
        <v>2069870.9</v>
      </c>
      <c r="AC78" s="6" t="s">
        <v>42</v>
      </c>
      <c r="AD78" s="6" t="s">
        <v>218</v>
      </c>
      <c r="AE78" s="6" t="s">
        <v>457</v>
      </c>
    </row>
    <row r="79" spans="1:31">
      <c r="A79" s="4"/>
      <c r="B79" s="4"/>
      <c r="C79" s="4"/>
      <c r="D79" s="6" t="s">
        <v>27</v>
      </c>
      <c r="E79" s="6" t="s">
        <v>28</v>
      </c>
      <c r="F79" s="6" t="s">
        <v>29</v>
      </c>
      <c r="G79" s="6" t="s">
        <v>30</v>
      </c>
      <c r="H79" s="6" t="s">
        <v>31</v>
      </c>
      <c r="I79" s="6" t="s">
        <v>32</v>
      </c>
      <c r="J79" s="6" t="s">
        <v>33</v>
      </c>
      <c r="K79" s="6" t="s">
        <v>34</v>
      </c>
      <c r="L79" s="6" t="s">
        <v>35</v>
      </c>
      <c r="M79" s="8">
        <v>2776035.44</v>
      </c>
      <c r="N79" s="6" t="s">
        <v>36</v>
      </c>
      <c r="O79" s="8">
        <v>2776035.44</v>
      </c>
      <c r="P79" s="6" t="s">
        <v>36</v>
      </c>
      <c r="Q79" s="8">
        <v>2782295.31</v>
      </c>
      <c r="R79" s="6" t="s">
        <v>37</v>
      </c>
      <c r="S79" s="8">
        <v>2782295.31</v>
      </c>
      <c r="T79" s="6" t="s">
        <v>37</v>
      </c>
      <c r="U79" s="6" t="s">
        <v>228</v>
      </c>
      <c r="V79" s="6" t="s">
        <v>229</v>
      </c>
      <c r="W79" s="6" t="s">
        <v>48</v>
      </c>
      <c r="X79" s="6" t="s">
        <v>49</v>
      </c>
      <c r="Y79" s="6" t="s">
        <v>218</v>
      </c>
      <c r="Z79" s="8">
        <v>29481.65</v>
      </c>
      <c r="AA79" s="9"/>
      <c r="AB79" s="8">
        <v>2059953.04</v>
      </c>
      <c r="AC79" s="6" t="s">
        <v>42</v>
      </c>
      <c r="AD79" s="6" t="s">
        <v>218</v>
      </c>
      <c r="AE79" s="6" t="s">
        <v>457</v>
      </c>
    </row>
    <row r="80" spans="1:31">
      <c r="A80" s="4"/>
      <c r="B80" s="4"/>
      <c r="C80" s="4"/>
      <c r="D80" s="6" t="s">
        <v>27</v>
      </c>
      <c r="E80" s="6" t="s">
        <v>28</v>
      </c>
      <c r="F80" s="6" t="s">
        <v>29</v>
      </c>
      <c r="G80" s="6" t="s">
        <v>30</v>
      </c>
      <c r="H80" s="6" t="s">
        <v>31</v>
      </c>
      <c r="I80" s="6" t="s">
        <v>32</v>
      </c>
      <c r="J80" s="6" t="s">
        <v>33</v>
      </c>
      <c r="K80" s="6" t="s">
        <v>34</v>
      </c>
      <c r="L80" s="6" t="s">
        <v>35</v>
      </c>
      <c r="M80" s="8">
        <v>2776035.44</v>
      </c>
      <c r="N80" s="6" t="s">
        <v>36</v>
      </c>
      <c r="O80" s="8">
        <v>2776035.44</v>
      </c>
      <c r="P80" s="6" t="s">
        <v>36</v>
      </c>
      <c r="Q80" s="8">
        <v>2782295.31</v>
      </c>
      <c r="R80" s="6" t="s">
        <v>37</v>
      </c>
      <c r="S80" s="8">
        <v>2782295.31</v>
      </c>
      <c r="T80" s="6" t="s">
        <v>37</v>
      </c>
      <c r="U80" s="6" t="s">
        <v>230</v>
      </c>
      <c r="V80" s="6" t="s">
        <v>231</v>
      </c>
      <c r="W80" s="6" t="s">
        <v>48</v>
      </c>
      <c r="X80" s="6" t="s">
        <v>49</v>
      </c>
      <c r="Y80" s="6" t="s">
        <v>218</v>
      </c>
      <c r="Z80" s="8">
        <v>5051.0200000000004</v>
      </c>
      <c r="AA80" s="9"/>
      <c r="AB80" s="8">
        <v>2030471.39</v>
      </c>
      <c r="AC80" s="6" t="s">
        <v>42</v>
      </c>
      <c r="AD80" s="6" t="s">
        <v>218</v>
      </c>
      <c r="AE80" s="6" t="s">
        <v>457</v>
      </c>
    </row>
    <row r="81" spans="1:31">
      <c r="A81" s="4"/>
      <c r="B81" s="4"/>
      <c r="C81" s="4"/>
      <c r="D81" s="6" t="s">
        <v>27</v>
      </c>
      <c r="E81" s="6" t="s">
        <v>28</v>
      </c>
      <c r="F81" s="6" t="s">
        <v>29</v>
      </c>
      <c r="G81" s="6" t="s">
        <v>30</v>
      </c>
      <c r="H81" s="6" t="s">
        <v>31</v>
      </c>
      <c r="I81" s="6" t="s">
        <v>32</v>
      </c>
      <c r="J81" s="6" t="s">
        <v>33</v>
      </c>
      <c r="K81" s="6" t="s">
        <v>34</v>
      </c>
      <c r="L81" s="6" t="s">
        <v>35</v>
      </c>
      <c r="M81" s="8">
        <v>2776035.44</v>
      </c>
      <c r="N81" s="6" t="s">
        <v>36</v>
      </c>
      <c r="O81" s="8">
        <v>2776035.44</v>
      </c>
      <c r="P81" s="6" t="s">
        <v>36</v>
      </c>
      <c r="Q81" s="8">
        <v>2782295.31</v>
      </c>
      <c r="R81" s="6" t="s">
        <v>37</v>
      </c>
      <c r="S81" s="8">
        <v>2782295.31</v>
      </c>
      <c r="T81" s="6" t="s">
        <v>37</v>
      </c>
      <c r="U81" s="6" t="s">
        <v>232</v>
      </c>
      <c r="V81" s="6" t="s">
        <v>233</v>
      </c>
      <c r="W81" s="6" t="s">
        <v>48</v>
      </c>
      <c r="X81" s="6" t="s">
        <v>49</v>
      </c>
      <c r="Y81" s="6" t="s">
        <v>218</v>
      </c>
      <c r="Z81" s="8">
        <v>185</v>
      </c>
      <c r="AA81" s="9"/>
      <c r="AB81" s="8">
        <v>2025420.37</v>
      </c>
      <c r="AC81" s="6" t="s">
        <v>42</v>
      </c>
      <c r="AD81" s="6" t="s">
        <v>218</v>
      </c>
      <c r="AE81" s="6" t="s">
        <v>457</v>
      </c>
    </row>
    <row r="82" spans="1:31">
      <c r="A82" s="4"/>
      <c r="B82" s="4"/>
      <c r="C82" s="4"/>
      <c r="D82" s="6" t="s">
        <v>27</v>
      </c>
      <c r="E82" s="6" t="s">
        <v>28</v>
      </c>
      <c r="F82" s="6" t="s">
        <v>29</v>
      </c>
      <c r="G82" s="6" t="s">
        <v>30</v>
      </c>
      <c r="H82" s="6" t="s">
        <v>31</v>
      </c>
      <c r="I82" s="6" t="s">
        <v>32</v>
      </c>
      <c r="J82" s="6" t="s">
        <v>33</v>
      </c>
      <c r="K82" s="6" t="s">
        <v>34</v>
      </c>
      <c r="L82" s="6" t="s">
        <v>35</v>
      </c>
      <c r="M82" s="8">
        <v>2776035.44</v>
      </c>
      <c r="N82" s="6" t="s">
        <v>36</v>
      </c>
      <c r="O82" s="8">
        <v>2776035.44</v>
      </c>
      <c r="P82" s="6" t="s">
        <v>36</v>
      </c>
      <c r="Q82" s="8">
        <v>2782295.31</v>
      </c>
      <c r="R82" s="6" t="s">
        <v>37</v>
      </c>
      <c r="S82" s="8">
        <v>2782295.31</v>
      </c>
      <c r="T82" s="6" t="s">
        <v>37</v>
      </c>
      <c r="U82" s="6" t="s">
        <v>234</v>
      </c>
      <c r="V82" s="6" t="s">
        <v>235</v>
      </c>
      <c r="W82" s="6" t="s">
        <v>48</v>
      </c>
      <c r="X82" s="6" t="s">
        <v>49</v>
      </c>
      <c r="Y82" s="6" t="s">
        <v>218</v>
      </c>
      <c r="Z82" s="8">
        <v>5010</v>
      </c>
      <c r="AA82" s="9"/>
      <c r="AB82" s="8">
        <v>2025235.37</v>
      </c>
      <c r="AC82" s="6" t="s">
        <v>42</v>
      </c>
      <c r="AD82" s="6" t="s">
        <v>218</v>
      </c>
      <c r="AE82" s="6" t="s">
        <v>457</v>
      </c>
    </row>
    <row r="83" spans="1:31">
      <c r="A83" s="4"/>
      <c r="B83" s="4"/>
      <c r="C83" s="4"/>
      <c r="D83" s="6" t="s">
        <v>27</v>
      </c>
      <c r="E83" s="6" t="s">
        <v>28</v>
      </c>
      <c r="F83" s="6" t="s">
        <v>29</v>
      </c>
      <c r="G83" s="6" t="s">
        <v>30</v>
      </c>
      <c r="H83" s="6" t="s">
        <v>31</v>
      </c>
      <c r="I83" s="6" t="s">
        <v>32</v>
      </c>
      <c r="J83" s="6" t="s">
        <v>33</v>
      </c>
      <c r="K83" s="6" t="s">
        <v>34</v>
      </c>
      <c r="L83" s="6" t="s">
        <v>35</v>
      </c>
      <c r="M83" s="8">
        <v>2776035.44</v>
      </c>
      <c r="N83" s="6" t="s">
        <v>36</v>
      </c>
      <c r="O83" s="8">
        <v>2776035.44</v>
      </c>
      <c r="P83" s="6" t="s">
        <v>36</v>
      </c>
      <c r="Q83" s="8">
        <v>2782295.31</v>
      </c>
      <c r="R83" s="6" t="s">
        <v>37</v>
      </c>
      <c r="S83" s="8">
        <v>2782295.31</v>
      </c>
      <c r="T83" s="6" t="s">
        <v>37</v>
      </c>
      <c r="U83" s="6" t="s">
        <v>236</v>
      </c>
      <c r="V83" s="6" t="s">
        <v>237</v>
      </c>
      <c r="W83" s="6" t="s">
        <v>48</v>
      </c>
      <c r="X83" s="6" t="s">
        <v>49</v>
      </c>
      <c r="Y83" s="6" t="s">
        <v>218</v>
      </c>
      <c r="Z83" s="8">
        <v>6389.28</v>
      </c>
      <c r="AA83" s="9"/>
      <c r="AB83" s="8">
        <v>2020225.37</v>
      </c>
      <c r="AC83" s="6" t="s">
        <v>42</v>
      </c>
      <c r="AD83" s="6" t="s">
        <v>218</v>
      </c>
      <c r="AE83" s="6" t="s">
        <v>457</v>
      </c>
    </row>
    <row r="84" spans="1:31">
      <c r="A84" s="4"/>
      <c r="B84" s="4"/>
      <c r="C84" s="4"/>
      <c r="D84" s="6" t="s">
        <v>27</v>
      </c>
      <c r="E84" s="6" t="s">
        <v>28</v>
      </c>
      <c r="F84" s="6" t="s">
        <v>29</v>
      </c>
      <c r="G84" s="6" t="s">
        <v>30</v>
      </c>
      <c r="H84" s="6" t="s">
        <v>31</v>
      </c>
      <c r="I84" s="6" t="s">
        <v>32</v>
      </c>
      <c r="J84" s="6" t="s">
        <v>33</v>
      </c>
      <c r="K84" s="6" t="s">
        <v>34</v>
      </c>
      <c r="L84" s="6" t="s">
        <v>35</v>
      </c>
      <c r="M84" s="8">
        <v>2776035.44</v>
      </c>
      <c r="N84" s="6" t="s">
        <v>36</v>
      </c>
      <c r="O84" s="8">
        <v>2776035.44</v>
      </c>
      <c r="P84" s="6" t="s">
        <v>36</v>
      </c>
      <c r="Q84" s="8">
        <v>2782295.31</v>
      </c>
      <c r="R84" s="6" t="s">
        <v>37</v>
      </c>
      <c r="S84" s="8">
        <v>2782295.31</v>
      </c>
      <c r="T84" s="6" t="s">
        <v>37</v>
      </c>
      <c r="U84" s="6" t="s">
        <v>238</v>
      </c>
      <c r="V84" s="6" t="s">
        <v>239</v>
      </c>
      <c r="W84" s="6" t="s">
        <v>48</v>
      </c>
      <c r="X84" s="6" t="s">
        <v>49</v>
      </c>
      <c r="Y84" s="6" t="s">
        <v>218</v>
      </c>
      <c r="Z84" s="8">
        <v>9871.42</v>
      </c>
      <c r="AA84" s="9"/>
      <c r="AB84" s="8">
        <v>2013836.09</v>
      </c>
      <c r="AC84" s="6" t="s">
        <v>42</v>
      </c>
      <c r="AD84" s="6" t="s">
        <v>218</v>
      </c>
      <c r="AE84" s="6" t="s">
        <v>457</v>
      </c>
    </row>
    <row r="85" spans="1:31">
      <c r="A85" s="4"/>
      <c r="B85" s="4"/>
      <c r="C85" s="4"/>
      <c r="D85" s="6" t="s">
        <v>27</v>
      </c>
      <c r="E85" s="6" t="s">
        <v>28</v>
      </c>
      <c r="F85" s="6" t="s">
        <v>29</v>
      </c>
      <c r="G85" s="6" t="s">
        <v>30</v>
      </c>
      <c r="H85" s="6" t="s">
        <v>31</v>
      </c>
      <c r="I85" s="6" t="s">
        <v>32</v>
      </c>
      <c r="J85" s="6" t="s">
        <v>33</v>
      </c>
      <c r="K85" s="6" t="s">
        <v>34</v>
      </c>
      <c r="L85" s="6" t="s">
        <v>35</v>
      </c>
      <c r="M85" s="8">
        <v>2776035.44</v>
      </c>
      <c r="N85" s="6" t="s">
        <v>36</v>
      </c>
      <c r="O85" s="8">
        <v>2776035.44</v>
      </c>
      <c r="P85" s="6" t="s">
        <v>36</v>
      </c>
      <c r="Q85" s="8">
        <v>2782295.31</v>
      </c>
      <c r="R85" s="6" t="s">
        <v>37</v>
      </c>
      <c r="S85" s="8">
        <v>2782295.31</v>
      </c>
      <c r="T85" s="6" t="s">
        <v>37</v>
      </c>
      <c r="U85" s="6" t="s">
        <v>240</v>
      </c>
      <c r="V85" s="6" t="s">
        <v>241</v>
      </c>
      <c r="W85" s="6" t="s">
        <v>48</v>
      </c>
      <c r="X85" s="6" t="s">
        <v>49</v>
      </c>
      <c r="Y85" s="6" t="s">
        <v>218</v>
      </c>
      <c r="Z85" s="8">
        <v>8894.86</v>
      </c>
      <c r="AA85" s="9"/>
      <c r="AB85" s="8">
        <v>2003964.67</v>
      </c>
      <c r="AC85" s="6" t="s">
        <v>42</v>
      </c>
      <c r="AD85" s="6" t="s">
        <v>218</v>
      </c>
      <c r="AE85" s="6" t="s">
        <v>457</v>
      </c>
    </row>
    <row r="86" spans="1:31">
      <c r="A86" s="4"/>
      <c r="B86" s="4"/>
      <c r="C86" s="4"/>
      <c r="D86" s="6" t="s">
        <v>27</v>
      </c>
      <c r="E86" s="6" t="s">
        <v>28</v>
      </c>
      <c r="F86" s="6" t="s">
        <v>29</v>
      </c>
      <c r="G86" s="6" t="s">
        <v>30</v>
      </c>
      <c r="H86" s="6" t="s">
        <v>31</v>
      </c>
      <c r="I86" s="6" t="s">
        <v>32</v>
      </c>
      <c r="J86" s="6" t="s">
        <v>33</v>
      </c>
      <c r="K86" s="6" t="s">
        <v>34</v>
      </c>
      <c r="L86" s="6" t="s">
        <v>35</v>
      </c>
      <c r="M86" s="8">
        <v>2776035.44</v>
      </c>
      <c r="N86" s="6" t="s">
        <v>36</v>
      </c>
      <c r="O86" s="8">
        <v>2776035.44</v>
      </c>
      <c r="P86" s="6" t="s">
        <v>36</v>
      </c>
      <c r="Q86" s="8">
        <v>2782295.31</v>
      </c>
      <c r="R86" s="6" t="s">
        <v>37</v>
      </c>
      <c r="S86" s="8">
        <v>2782295.31</v>
      </c>
      <c r="T86" s="6" t="s">
        <v>37</v>
      </c>
      <c r="U86" s="6" t="s">
        <v>242</v>
      </c>
      <c r="V86" s="6" t="s">
        <v>243</v>
      </c>
      <c r="W86" s="6" t="s">
        <v>67</v>
      </c>
      <c r="X86" s="6" t="s">
        <v>68</v>
      </c>
      <c r="Y86" s="6" t="s">
        <v>218</v>
      </c>
      <c r="Z86" s="8">
        <v>1133.8900000000001</v>
      </c>
      <c r="AA86" s="9"/>
      <c r="AB86" s="8">
        <v>1995069.81</v>
      </c>
      <c r="AC86" s="6" t="s">
        <v>42</v>
      </c>
      <c r="AD86" s="6" t="s">
        <v>218</v>
      </c>
      <c r="AE86" s="6" t="s">
        <v>457</v>
      </c>
    </row>
    <row r="87" spans="1:31">
      <c r="A87" s="4"/>
      <c r="B87" s="4"/>
      <c r="C87" s="4"/>
      <c r="D87" s="6" t="s">
        <v>27</v>
      </c>
      <c r="E87" s="6" t="s">
        <v>28</v>
      </c>
      <c r="F87" s="6" t="s">
        <v>29</v>
      </c>
      <c r="G87" s="6" t="s">
        <v>30</v>
      </c>
      <c r="H87" s="6" t="s">
        <v>31</v>
      </c>
      <c r="I87" s="6" t="s">
        <v>32</v>
      </c>
      <c r="J87" s="6" t="s">
        <v>33</v>
      </c>
      <c r="K87" s="6" t="s">
        <v>34</v>
      </c>
      <c r="L87" s="6" t="s">
        <v>35</v>
      </c>
      <c r="M87" s="8">
        <v>2776035.44</v>
      </c>
      <c r="N87" s="6" t="s">
        <v>36</v>
      </c>
      <c r="O87" s="8">
        <v>2776035.44</v>
      </c>
      <c r="P87" s="6" t="s">
        <v>36</v>
      </c>
      <c r="Q87" s="8">
        <v>2782295.31</v>
      </c>
      <c r="R87" s="6" t="s">
        <v>37</v>
      </c>
      <c r="S87" s="8">
        <v>2782295.31</v>
      </c>
      <c r="T87" s="6" t="s">
        <v>37</v>
      </c>
      <c r="U87" s="6" t="s">
        <v>244</v>
      </c>
      <c r="V87" s="6" t="s">
        <v>245</v>
      </c>
      <c r="W87" s="6" t="s">
        <v>48</v>
      </c>
      <c r="X87" s="6" t="s">
        <v>49</v>
      </c>
      <c r="Y87" s="6" t="s">
        <v>246</v>
      </c>
      <c r="Z87" s="8">
        <v>19224</v>
      </c>
      <c r="AA87" s="9"/>
      <c r="AB87" s="8">
        <v>1993935.92</v>
      </c>
      <c r="AC87" s="6" t="s">
        <v>42</v>
      </c>
      <c r="AD87" s="6" t="s">
        <v>246</v>
      </c>
      <c r="AE87" s="6" t="s">
        <v>457</v>
      </c>
    </row>
    <row r="88" spans="1:31">
      <c r="A88" s="4"/>
      <c r="B88" s="4"/>
      <c r="C88" s="4"/>
      <c r="D88" s="6" t="s">
        <v>27</v>
      </c>
      <c r="E88" s="6" t="s">
        <v>28</v>
      </c>
      <c r="F88" s="6" t="s">
        <v>29</v>
      </c>
      <c r="G88" s="6" t="s">
        <v>30</v>
      </c>
      <c r="H88" s="6" t="s">
        <v>31</v>
      </c>
      <c r="I88" s="6" t="s">
        <v>32</v>
      </c>
      <c r="J88" s="6" t="s">
        <v>33</v>
      </c>
      <c r="K88" s="6" t="s">
        <v>34</v>
      </c>
      <c r="L88" s="6" t="s">
        <v>35</v>
      </c>
      <c r="M88" s="8">
        <v>2776035.44</v>
      </c>
      <c r="N88" s="6" t="s">
        <v>36</v>
      </c>
      <c r="O88" s="8">
        <v>2776035.44</v>
      </c>
      <c r="P88" s="6" t="s">
        <v>36</v>
      </c>
      <c r="Q88" s="8">
        <v>2782295.31</v>
      </c>
      <c r="R88" s="6" t="s">
        <v>37</v>
      </c>
      <c r="S88" s="8">
        <v>2782295.31</v>
      </c>
      <c r="T88" s="6" t="s">
        <v>37</v>
      </c>
      <c r="U88" s="6" t="s">
        <v>247</v>
      </c>
      <c r="V88" s="6" t="s">
        <v>248</v>
      </c>
      <c r="W88" s="6" t="s">
        <v>249</v>
      </c>
      <c r="X88" s="6" t="s">
        <v>49</v>
      </c>
      <c r="Y88" s="6" t="s">
        <v>246</v>
      </c>
      <c r="Z88" s="8">
        <v>4586.49</v>
      </c>
      <c r="AA88" s="9"/>
      <c r="AB88" s="8">
        <v>1974711.92</v>
      </c>
      <c r="AC88" s="6" t="s">
        <v>42</v>
      </c>
      <c r="AD88" s="6" t="s">
        <v>246</v>
      </c>
      <c r="AE88" s="6" t="s">
        <v>457</v>
      </c>
    </row>
    <row r="89" spans="1:31">
      <c r="A89" s="4"/>
      <c r="B89" s="4"/>
      <c r="C89" s="4"/>
      <c r="D89" s="6" t="s">
        <v>27</v>
      </c>
      <c r="E89" s="6" t="s">
        <v>28</v>
      </c>
      <c r="F89" s="6" t="s">
        <v>29</v>
      </c>
      <c r="G89" s="6" t="s">
        <v>30</v>
      </c>
      <c r="H89" s="6" t="s">
        <v>31</v>
      </c>
      <c r="I89" s="6" t="s">
        <v>32</v>
      </c>
      <c r="J89" s="6" t="s">
        <v>33</v>
      </c>
      <c r="K89" s="6" t="s">
        <v>34</v>
      </c>
      <c r="L89" s="6" t="s">
        <v>35</v>
      </c>
      <c r="M89" s="8">
        <v>2776035.44</v>
      </c>
      <c r="N89" s="6" t="s">
        <v>36</v>
      </c>
      <c r="O89" s="8">
        <v>2776035.44</v>
      </c>
      <c r="P89" s="6" t="s">
        <v>36</v>
      </c>
      <c r="Q89" s="8">
        <v>2782295.31</v>
      </c>
      <c r="R89" s="6" t="s">
        <v>37</v>
      </c>
      <c r="S89" s="8">
        <v>2782295.31</v>
      </c>
      <c r="T89" s="6" t="s">
        <v>37</v>
      </c>
      <c r="U89" s="6" t="s">
        <v>250</v>
      </c>
      <c r="V89" s="6" t="s">
        <v>251</v>
      </c>
      <c r="W89" s="6" t="s">
        <v>48</v>
      </c>
      <c r="X89" s="6" t="s">
        <v>49</v>
      </c>
      <c r="Y89" s="6" t="s">
        <v>246</v>
      </c>
      <c r="Z89" s="8">
        <v>17420.439999999999</v>
      </c>
      <c r="AA89" s="9"/>
      <c r="AB89" s="8">
        <v>1970125.43</v>
      </c>
      <c r="AC89" s="6" t="s">
        <v>42</v>
      </c>
      <c r="AD89" s="6" t="s">
        <v>246</v>
      </c>
      <c r="AE89" s="6" t="s">
        <v>457</v>
      </c>
    </row>
    <row r="90" spans="1:31">
      <c r="A90" s="4"/>
      <c r="B90" s="4"/>
      <c r="C90" s="4"/>
      <c r="D90" s="6" t="s">
        <v>27</v>
      </c>
      <c r="E90" s="6" t="s">
        <v>28</v>
      </c>
      <c r="F90" s="6" t="s">
        <v>29</v>
      </c>
      <c r="G90" s="6" t="s">
        <v>30</v>
      </c>
      <c r="H90" s="6" t="s">
        <v>31</v>
      </c>
      <c r="I90" s="6" t="s">
        <v>32</v>
      </c>
      <c r="J90" s="6" t="s">
        <v>33</v>
      </c>
      <c r="K90" s="6" t="s">
        <v>34</v>
      </c>
      <c r="L90" s="6" t="s">
        <v>35</v>
      </c>
      <c r="M90" s="8">
        <v>2776035.44</v>
      </c>
      <c r="N90" s="6" t="s">
        <v>36</v>
      </c>
      <c r="O90" s="8">
        <v>2776035.44</v>
      </c>
      <c r="P90" s="6" t="s">
        <v>36</v>
      </c>
      <c r="Q90" s="8">
        <v>2782295.31</v>
      </c>
      <c r="R90" s="6" t="s">
        <v>37</v>
      </c>
      <c r="S90" s="8">
        <v>2782295.31</v>
      </c>
      <c r="T90" s="6" t="s">
        <v>37</v>
      </c>
      <c r="U90" s="6" t="s">
        <v>252</v>
      </c>
      <c r="V90" s="6" t="s">
        <v>253</v>
      </c>
      <c r="W90" s="6" t="s">
        <v>48</v>
      </c>
      <c r="X90" s="6" t="s">
        <v>49</v>
      </c>
      <c r="Y90" s="6" t="s">
        <v>246</v>
      </c>
      <c r="Z90" s="8">
        <v>3968.29</v>
      </c>
      <c r="AA90" s="9"/>
      <c r="AB90" s="8">
        <v>1952704.99</v>
      </c>
      <c r="AC90" s="6" t="s">
        <v>42</v>
      </c>
      <c r="AD90" s="6" t="s">
        <v>246</v>
      </c>
      <c r="AE90" s="6" t="s">
        <v>457</v>
      </c>
    </row>
    <row r="91" spans="1:31">
      <c r="A91" s="4"/>
      <c r="B91" s="4"/>
      <c r="C91" s="4"/>
      <c r="D91" s="6" t="s">
        <v>27</v>
      </c>
      <c r="E91" s="6" t="s">
        <v>28</v>
      </c>
      <c r="F91" s="6" t="s">
        <v>29</v>
      </c>
      <c r="G91" s="6" t="s">
        <v>30</v>
      </c>
      <c r="H91" s="6" t="s">
        <v>31</v>
      </c>
      <c r="I91" s="6" t="s">
        <v>32</v>
      </c>
      <c r="J91" s="6" t="s">
        <v>33</v>
      </c>
      <c r="K91" s="6" t="s">
        <v>34</v>
      </c>
      <c r="L91" s="6" t="s">
        <v>35</v>
      </c>
      <c r="M91" s="8">
        <v>2776035.44</v>
      </c>
      <c r="N91" s="6" t="s">
        <v>36</v>
      </c>
      <c r="O91" s="8">
        <v>2776035.44</v>
      </c>
      <c r="P91" s="6" t="s">
        <v>36</v>
      </c>
      <c r="Q91" s="8">
        <v>2782295.31</v>
      </c>
      <c r="R91" s="6" t="s">
        <v>37</v>
      </c>
      <c r="S91" s="8">
        <v>2782295.31</v>
      </c>
      <c r="T91" s="6" t="s">
        <v>37</v>
      </c>
      <c r="U91" s="6" t="s">
        <v>254</v>
      </c>
      <c r="V91" s="6" t="s">
        <v>255</v>
      </c>
      <c r="W91" s="6" t="s">
        <v>48</v>
      </c>
      <c r="X91" s="6" t="s">
        <v>49</v>
      </c>
      <c r="Y91" s="6" t="s">
        <v>246</v>
      </c>
      <c r="Z91" s="8">
        <v>17417</v>
      </c>
      <c r="AA91" s="9"/>
      <c r="AB91" s="8">
        <v>1948736.7</v>
      </c>
      <c r="AC91" s="6" t="s">
        <v>42</v>
      </c>
      <c r="AD91" s="6" t="s">
        <v>246</v>
      </c>
      <c r="AE91" s="6" t="s">
        <v>457</v>
      </c>
    </row>
    <row r="92" spans="1:31">
      <c r="A92" s="4"/>
      <c r="B92" s="4"/>
      <c r="C92" s="4"/>
      <c r="D92" s="6" t="s">
        <v>27</v>
      </c>
      <c r="E92" s="6" t="s">
        <v>28</v>
      </c>
      <c r="F92" s="6" t="s">
        <v>29</v>
      </c>
      <c r="G92" s="6" t="s">
        <v>30</v>
      </c>
      <c r="H92" s="6" t="s">
        <v>31</v>
      </c>
      <c r="I92" s="6" t="s">
        <v>32</v>
      </c>
      <c r="J92" s="6" t="s">
        <v>33</v>
      </c>
      <c r="K92" s="6" t="s">
        <v>34</v>
      </c>
      <c r="L92" s="6" t="s">
        <v>35</v>
      </c>
      <c r="M92" s="8">
        <v>2776035.44</v>
      </c>
      <c r="N92" s="6" t="s">
        <v>36</v>
      </c>
      <c r="O92" s="8">
        <v>2776035.44</v>
      </c>
      <c r="P92" s="6" t="s">
        <v>36</v>
      </c>
      <c r="Q92" s="8">
        <v>2782295.31</v>
      </c>
      <c r="R92" s="6" t="s">
        <v>37</v>
      </c>
      <c r="S92" s="8">
        <v>2782295.31</v>
      </c>
      <c r="T92" s="6" t="s">
        <v>37</v>
      </c>
      <c r="U92" s="6" t="s">
        <v>256</v>
      </c>
      <c r="V92" s="6" t="s">
        <v>257</v>
      </c>
      <c r="W92" s="6" t="s">
        <v>48</v>
      </c>
      <c r="X92" s="6" t="s">
        <v>49</v>
      </c>
      <c r="Y92" s="6" t="s">
        <v>246</v>
      </c>
      <c r="Z92" s="8">
        <v>12564.28</v>
      </c>
      <c r="AA92" s="9"/>
      <c r="AB92" s="8">
        <v>1931319.7</v>
      </c>
      <c r="AC92" s="6" t="s">
        <v>42</v>
      </c>
      <c r="AD92" s="6" t="s">
        <v>246</v>
      </c>
      <c r="AE92" s="6" t="s">
        <v>457</v>
      </c>
    </row>
    <row r="93" spans="1:31">
      <c r="A93" s="4"/>
      <c r="B93" s="4"/>
      <c r="C93" s="4"/>
      <c r="D93" s="6" t="s">
        <v>27</v>
      </c>
      <c r="E93" s="6" t="s">
        <v>28</v>
      </c>
      <c r="F93" s="6" t="s">
        <v>29</v>
      </c>
      <c r="G93" s="6" t="s">
        <v>30</v>
      </c>
      <c r="H93" s="6" t="s">
        <v>31</v>
      </c>
      <c r="I93" s="6" t="s">
        <v>32</v>
      </c>
      <c r="J93" s="6" t="s">
        <v>33</v>
      </c>
      <c r="K93" s="6" t="s">
        <v>34</v>
      </c>
      <c r="L93" s="6" t="s">
        <v>35</v>
      </c>
      <c r="M93" s="8">
        <v>2776035.44</v>
      </c>
      <c r="N93" s="6" t="s">
        <v>36</v>
      </c>
      <c r="O93" s="8">
        <v>2776035.44</v>
      </c>
      <c r="P93" s="6" t="s">
        <v>36</v>
      </c>
      <c r="Q93" s="8">
        <v>2782295.31</v>
      </c>
      <c r="R93" s="6" t="s">
        <v>37</v>
      </c>
      <c r="S93" s="8">
        <v>2782295.31</v>
      </c>
      <c r="T93" s="6" t="s">
        <v>37</v>
      </c>
      <c r="U93" s="6" t="s">
        <v>258</v>
      </c>
      <c r="V93" s="6" t="s">
        <v>259</v>
      </c>
      <c r="W93" s="6" t="s">
        <v>67</v>
      </c>
      <c r="X93" s="6" t="s">
        <v>68</v>
      </c>
      <c r="Y93" s="6" t="s">
        <v>246</v>
      </c>
      <c r="Z93" s="8">
        <v>1341.83</v>
      </c>
      <c r="AA93" s="9"/>
      <c r="AB93" s="8">
        <v>1918755.42</v>
      </c>
      <c r="AC93" s="6" t="s">
        <v>42</v>
      </c>
      <c r="AD93" s="6" t="s">
        <v>246</v>
      </c>
      <c r="AE93" s="6" t="s">
        <v>457</v>
      </c>
    </row>
    <row r="94" spans="1:31">
      <c r="A94" s="4"/>
      <c r="B94" s="4"/>
      <c r="C94" s="4"/>
      <c r="D94" s="6" t="s">
        <v>27</v>
      </c>
      <c r="E94" s="6" t="s">
        <v>28</v>
      </c>
      <c r="F94" s="6" t="s">
        <v>29</v>
      </c>
      <c r="G94" s="6" t="s">
        <v>30</v>
      </c>
      <c r="H94" s="6" t="s">
        <v>31</v>
      </c>
      <c r="I94" s="6" t="s">
        <v>32</v>
      </c>
      <c r="J94" s="6" t="s">
        <v>33</v>
      </c>
      <c r="K94" s="6" t="s">
        <v>34</v>
      </c>
      <c r="L94" s="6" t="s">
        <v>35</v>
      </c>
      <c r="M94" s="8">
        <v>2776035.44</v>
      </c>
      <c r="N94" s="6" t="s">
        <v>36</v>
      </c>
      <c r="O94" s="8">
        <v>2776035.44</v>
      </c>
      <c r="P94" s="6" t="s">
        <v>36</v>
      </c>
      <c r="Q94" s="8">
        <v>2782295.31</v>
      </c>
      <c r="R94" s="6" t="s">
        <v>37</v>
      </c>
      <c r="S94" s="8">
        <v>2782295.31</v>
      </c>
      <c r="T94" s="6" t="s">
        <v>37</v>
      </c>
      <c r="U94" s="6" t="s">
        <v>260</v>
      </c>
      <c r="V94" s="6" t="s">
        <v>261</v>
      </c>
      <c r="W94" s="6" t="s">
        <v>67</v>
      </c>
      <c r="X94" s="6" t="s">
        <v>68</v>
      </c>
      <c r="Y94" s="6" t="s">
        <v>246</v>
      </c>
      <c r="Z94" s="8">
        <v>7007.39</v>
      </c>
      <c r="AA94" s="9"/>
      <c r="AB94" s="8">
        <v>1917413.59</v>
      </c>
      <c r="AC94" s="6" t="s">
        <v>42</v>
      </c>
      <c r="AD94" s="6" t="s">
        <v>246</v>
      </c>
      <c r="AE94" s="6" t="s">
        <v>457</v>
      </c>
    </row>
    <row r="95" spans="1:31">
      <c r="A95" s="4"/>
      <c r="B95" s="4"/>
      <c r="C95" s="4"/>
      <c r="D95" s="6" t="s">
        <v>27</v>
      </c>
      <c r="E95" s="6" t="s">
        <v>28</v>
      </c>
      <c r="F95" s="6" t="s">
        <v>29</v>
      </c>
      <c r="G95" s="6" t="s">
        <v>30</v>
      </c>
      <c r="H95" s="6" t="s">
        <v>31</v>
      </c>
      <c r="I95" s="6" t="s">
        <v>32</v>
      </c>
      <c r="J95" s="6" t="s">
        <v>33</v>
      </c>
      <c r="K95" s="6" t="s">
        <v>34</v>
      </c>
      <c r="L95" s="6" t="s">
        <v>35</v>
      </c>
      <c r="M95" s="8">
        <v>2776035.44</v>
      </c>
      <c r="N95" s="6" t="s">
        <v>36</v>
      </c>
      <c r="O95" s="8">
        <v>2776035.44</v>
      </c>
      <c r="P95" s="6" t="s">
        <v>36</v>
      </c>
      <c r="Q95" s="8">
        <v>2782295.31</v>
      </c>
      <c r="R95" s="6" t="s">
        <v>37</v>
      </c>
      <c r="S95" s="8">
        <v>2782295.31</v>
      </c>
      <c r="T95" s="6" t="s">
        <v>37</v>
      </c>
      <c r="U95" s="6" t="s">
        <v>262</v>
      </c>
      <c r="V95" s="6" t="s">
        <v>263</v>
      </c>
      <c r="W95" s="6" t="s">
        <v>67</v>
      </c>
      <c r="X95" s="6" t="s">
        <v>68</v>
      </c>
      <c r="Y95" s="6" t="s">
        <v>246</v>
      </c>
      <c r="Z95" s="8">
        <v>2290.69</v>
      </c>
      <c r="AA95" s="9"/>
      <c r="AB95" s="8">
        <v>1910406.2</v>
      </c>
      <c r="AC95" s="6" t="s">
        <v>42</v>
      </c>
      <c r="AD95" s="6" t="s">
        <v>246</v>
      </c>
      <c r="AE95" s="6" t="s">
        <v>457</v>
      </c>
    </row>
    <row r="96" spans="1:31">
      <c r="A96" s="4"/>
      <c r="B96" s="4"/>
      <c r="C96" s="4"/>
      <c r="D96" s="6" t="s">
        <v>27</v>
      </c>
      <c r="E96" s="6" t="s">
        <v>28</v>
      </c>
      <c r="F96" s="6" t="s">
        <v>29</v>
      </c>
      <c r="G96" s="6" t="s">
        <v>30</v>
      </c>
      <c r="H96" s="6" t="s">
        <v>31</v>
      </c>
      <c r="I96" s="6" t="s">
        <v>32</v>
      </c>
      <c r="J96" s="6" t="s">
        <v>33</v>
      </c>
      <c r="K96" s="6" t="s">
        <v>34</v>
      </c>
      <c r="L96" s="6" t="s">
        <v>35</v>
      </c>
      <c r="M96" s="8">
        <v>2776035.44</v>
      </c>
      <c r="N96" s="6" t="s">
        <v>36</v>
      </c>
      <c r="O96" s="8">
        <v>2776035.44</v>
      </c>
      <c r="P96" s="6" t="s">
        <v>36</v>
      </c>
      <c r="Q96" s="8">
        <v>2782295.31</v>
      </c>
      <c r="R96" s="6" t="s">
        <v>37</v>
      </c>
      <c r="S96" s="8">
        <v>2782295.31</v>
      </c>
      <c r="T96" s="6" t="s">
        <v>37</v>
      </c>
      <c r="U96" s="6" t="s">
        <v>264</v>
      </c>
      <c r="V96" s="6" t="s">
        <v>265</v>
      </c>
      <c r="W96" s="6" t="s">
        <v>266</v>
      </c>
      <c r="X96" s="6" t="s">
        <v>174</v>
      </c>
      <c r="Y96" s="6" t="s">
        <v>267</v>
      </c>
      <c r="Z96" s="8">
        <v>4273.87</v>
      </c>
      <c r="AA96" s="9"/>
      <c r="AB96" s="8">
        <v>1908115.51</v>
      </c>
      <c r="AC96" s="6" t="s">
        <v>42</v>
      </c>
      <c r="AD96" s="6" t="s">
        <v>267</v>
      </c>
      <c r="AE96" s="6" t="s">
        <v>457</v>
      </c>
    </row>
    <row r="97" spans="1:31">
      <c r="A97" s="4"/>
      <c r="B97" s="4"/>
      <c r="C97" s="4"/>
      <c r="D97" s="6" t="s">
        <v>27</v>
      </c>
      <c r="E97" s="6" t="s">
        <v>28</v>
      </c>
      <c r="F97" s="6" t="s">
        <v>29</v>
      </c>
      <c r="G97" s="6" t="s">
        <v>30</v>
      </c>
      <c r="H97" s="6" t="s">
        <v>31</v>
      </c>
      <c r="I97" s="6" t="s">
        <v>32</v>
      </c>
      <c r="J97" s="6" t="s">
        <v>33</v>
      </c>
      <c r="K97" s="6" t="s">
        <v>34</v>
      </c>
      <c r="L97" s="6" t="s">
        <v>35</v>
      </c>
      <c r="M97" s="8">
        <v>2776035.44</v>
      </c>
      <c r="N97" s="6" t="s">
        <v>36</v>
      </c>
      <c r="O97" s="8">
        <v>2776035.44</v>
      </c>
      <c r="P97" s="6" t="s">
        <v>36</v>
      </c>
      <c r="Q97" s="8">
        <v>2782295.31</v>
      </c>
      <c r="R97" s="6" t="s">
        <v>37</v>
      </c>
      <c r="S97" s="8">
        <v>2782295.31</v>
      </c>
      <c r="T97" s="6" t="s">
        <v>37</v>
      </c>
      <c r="U97" s="6" t="s">
        <v>268</v>
      </c>
      <c r="V97" s="6" t="s">
        <v>269</v>
      </c>
      <c r="W97" s="6" t="s">
        <v>270</v>
      </c>
      <c r="X97" s="6" t="s">
        <v>174</v>
      </c>
      <c r="Y97" s="6" t="s">
        <v>267</v>
      </c>
      <c r="Z97" s="8">
        <v>73.03</v>
      </c>
      <c r="AA97" s="9"/>
      <c r="AB97" s="8">
        <v>1903841.64</v>
      </c>
      <c r="AC97" s="6" t="s">
        <v>42</v>
      </c>
      <c r="AD97" s="6" t="s">
        <v>267</v>
      </c>
      <c r="AE97" s="6" t="s">
        <v>457</v>
      </c>
    </row>
    <row r="98" spans="1:31">
      <c r="A98" s="4"/>
      <c r="B98" s="4"/>
      <c r="C98" s="4"/>
      <c r="D98" s="6" t="s">
        <v>27</v>
      </c>
      <c r="E98" s="6" t="s">
        <v>28</v>
      </c>
      <c r="F98" s="6" t="s">
        <v>29</v>
      </c>
      <c r="G98" s="6" t="s">
        <v>30</v>
      </c>
      <c r="H98" s="6" t="s">
        <v>31</v>
      </c>
      <c r="I98" s="6" t="s">
        <v>32</v>
      </c>
      <c r="J98" s="6" t="s">
        <v>33</v>
      </c>
      <c r="K98" s="6" t="s">
        <v>34</v>
      </c>
      <c r="L98" s="6" t="s">
        <v>35</v>
      </c>
      <c r="M98" s="8">
        <v>2776035.44</v>
      </c>
      <c r="N98" s="6" t="s">
        <v>36</v>
      </c>
      <c r="O98" s="8">
        <v>2776035.44</v>
      </c>
      <c r="P98" s="6" t="s">
        <v>36</v>
      </c>
      <c r="Q98" s="8">
        <v>2782295.31</v>
      </c>
      <c r="R98" s="6" t="s">
        <v>37</v>
      </c>
      <c r="S98" s="8">
        <v>2782295.31</v>
      </c>
      <c r="T98" s="6" t="s">
        <v>37</v>
      </c>
      <c r="U98" s="6" t="s">
        <v>271</v>
      </c>
      <c r="V98" s="6" t="s">
        <v>272</v>
      </c>
      <c r="W98" s="6" t="s">
        <v>48</v>
      </c>
      <c r="X98" s="6" t="s">
        <v>49</v>
      </c>
      <c r="Y98" s="6" t="s">
        <v>267</v>
      </c>
      <c r="Z98" s="8">
        <v>11733.43</v>
      </c>
      <c r="AA98" s="9"/>
      <c r="AB98" s="8">
        <v>1903768.61</v>
      </c>
      <c r="AC98" s="6" t="s">
        <v>42</v>
      </c>
      <c r="AD98" s="6" t="s">
        <v>267</v>
      </c>
      <c r="AE98" s="6" t="s">
        <v>457</v>
      </c>
    </row>
    <row r="99" spans="1:31">
      <c r="A99" s="4"/>
      <c r="B99" s="4"/>
      <c r="C99" s="4"/>
      <c r="D99" s="6" t="s">
        <v>27</v>
      </c>
      <c r="E99" s="6" t="s">
        <v>28</v>
      </c>
      <c r="F99" s="6" t="s">
        <v>29</v>
      </c>
      <c r="G99" s="6" t="s">
        <v>30</v>
      </c>
      <c r="H99" s="6" t="s">
        <v>31</v>
      </c>
      <c r="I99" s="6" t="s">
        <v>32</v>
      </c>
      <c r="J99" s="6" t="s">
        <v>33</v>
      </c>
      <c r="K99" s="6" t="s">
        <v>34</v>
      </c>
      <c r="L99" s="6" t="s">
        <v>35</v>
      </c>
      <c r="M99" s="8">
        <v>2776035.44</v>
      </c>
      <c r="N99" s="6" t="s">
        <v>36</v>
      </c>
      <c r="O99" s="8">
        <v>2776035.44</v>
      </c>
      <c r="P99" s="6" t="s">
        <v>36</v>
      </c>
      <c r="Q99" s="8">
        <v>2782295.31</v>
      </c>
      <c r="R99" s="6" t="s">
        <v>37</v>
      </c>
      <c r="S99" s="8">
        <v>2782295.31</v>
      </c>
      <c r="T99" s="6" t="s">
        <v>37</v>
      </c>
      <c r="U99" s="6" t="s">
        <v>273</v>
      </c>
      <c r="V99" s="6" t="s">
        <v>274</v>
      </c>
      <c r="W99" s="6" t="s">
        <v>67</v>
      </c>
      <c r="X99" s="6" t="s">
        <v>68</v>
      </c>
      <c r="Y99" s="6" t="s">
        <v>267</v>
      </c>
      <c r="Z99" s="8">
        <v>2240.75</v>
      </c>
      <c r="AA99" s="9"/>
      <c r="AB99" s="8">
        <v>1892035.18</v>
      </c>
      <c r="AC99" s="6" t="s">
        <v>42</v>
      </c>
      <c r="AD99" s="6" t="s">
        <v>267</v>
      </c>
      <c r="AE99" s="6" t="s">
        <v>457</v>
      </c>
    </row>
    <row r="100" spans="1:31">
      <c r="A100" s="4"/>
      <c r="B100" s="4"/>
      <c r="C100" s="4"/>
      <c r="D100" s="6" t="s">
        <v>27</v>
      </c>
      <c r="E100" s="6" t="s">
        <v>28</v>
      </c>
      <c r="F100" s="6" t="s">
        <v>29</v>
      </c>
      <c r="G100" s="6" t="s">
        <v>30</v>
      </c>
      <c r="H100" s="6" t="s">
        <v>31</v>
      </c>
      <c r="I100" s="6" t="s">
        <v>32</v>
      </c>
      <c r="J100" s="6" t="s">
        <v>33</v>
      </c>
      <c r="K100" s="6" t="s">
        <v>34</v>
      </c>
      <c r="L100" s="6" t="s">
        <v>35</v>
      </c>
      <c r="M100" s="8">
        <v>2776035.44</v>
      </c>
      <c r="N100" s="6" t="s">
        <v>36</v>
      </c>
      <c r="O100" s="8">
        <v>2776035.44</v>
      </c>
      <c r="P100" s="6" t="s">
        <v>36</v>
      </c>
      <c r="Q100" s="8">
        <v>2782295.31</v>
      </c>
      <c r="R100" s="6" t="s">
        <v>37</v>
      </c>
      <c r="S100" s="8">
        <v>2782295.31</v>
      </c>
      <c r="T100" s="6" t="s">
        <v>37</v>
      </c>
      <c r="U100" s="6" t="s">
        <v>275</v>
      </c>
      <c r="V100" s="6" t="s">
        <v>276</v>
      </c>
      <c r="W100" s="6" t="s">
        <v>277</v>
      </c>
      <c r="X100" s="6" t="s">
        <v>41</v>
      </c>
      <c r="Y100" s="6" t="s">
        <v>278</v>
      </c>
      <c r="Z100" s="8">
        <v>1929.74</v>
      </c>
      <c r="AA100" s="9"/>
      <c r="AB100" s="8">
        <v>1889794.43</v>
      </c>
      <c r="AC100" s="6" t="s">
        <v>42</v>
      </c>
      <c r="AD100" s="6" t="s">
        <v>278</v>
      </c>
      <c r="AE100" s="6" t="s">
        <v>457</v>
      </c>
    </row>
    <row r="101" spans="1:31">
      <c r="A101" s="4"/>
      <c r="B101" s="4"/>
      <c r="C101" s="4"/>
      <c r="D101" s="6" t="s">
        <v>27</v>
      </c>
      <c r="E101" s="6" t="s">
        <v>28</v>
      </c>
      <c r="F101" s="6" t="s">
        <v>29</v>
      </c>
      <c r="G101" s="6" t="s">
        <v>30</v>
      </c>
      <c r="H101" s="6" t="s">
        <v>31</v>
      </c>
      <c r="I101" s="6" t="s">
        <v>32</v>
      </c>
      <c r="J101" s="6" t="s">
        <v>33</v>
      </c>
      <c r="K101" s="6" t="s">
        <v>34</v>
      </c>
      <c r="L101" s="6" t="s">
        <v>35</v>
      </c>
      <c r="M101" s="8">
        <v>2776035.44</v>
      </c>
      <c r="N101" s="6" t="s">
        <v>36</v>
      </c>
      <c r="O101" s="8">
        <v>2776035.44</v>
      </c>
      <c r="P101" s="6" t="s">
        <v>36</v>
      </c>
      <c r="Q101" s="8">
        <v>2782295.31</v>
      </c>
      <c r="R101" s="6" t="s">
        <v>37</v>
      </c>
      <c r="S101" s="8">
        <v>2782295.31</v>
      </c>
      <c r="T101" s="6" t="s">
        <v>37</v>
      </c>
      <c r="U101" s="6" t="s">
        <v>279</v>
      </c>
      <c r="V101" s="6" t="s">
        <v>280</v>
      </c>
      <c r="W101" s="6" t="s">
        <v>48</v>
      </c>
      <c r="X101" s="6" t="s">
        <v>49</v>
      </c>
      <c r="Y101" s="6" t="s">
        <v>278</v>
      </c>
      <c r="Z101" s="8">
        <v>8432.16</v>
      </c>
      <c r="AA101" s="9"/>
      <c r="AB101" s="8">
        <v>1887864.69</v>
      </c>
      <c r="AC101" s="6" t="s">
        <v>42</v>
      </c>
      <c r="AD101" s="6" t="s">
        <v>278</v>
      </c>
      <c r="AE101" s="6" t="s">
        <v>457</v>
      </c>
    </row>
    <row r="102" spans="1:31">
      <c r="A102" s="4"/>
      <c r="B102" s="4"/>
      <c r="C102" s="4"/>
      <c r="D102" s="6" t="s">
        <v>27</v>
      </c>
      <c r="E102" s="6" t="s">
        <v>28</v>
      </c>
      <c r="F102" s="6" t="s">
        <v>29</v>
      </c>
      <c r="G102" s="6" t="s">
        <v>30</v>
      </c>
      <c r="H102" s="6" t="s">
        <v>31</v>
      </c>
      <c r="I102" s="6" t="s">
        <v>32</v>
      </c>
      <c r="J102" s="6" t="s">
        <v>33</v>
      </c>
      <c r="K102" s="6" t="s">
        <v>34</v>
      </c>
      <c r="L102" s="6" t="s">
        <v>35</v>
      </c>
      <c r="M102" s="8">
        <v>2776035.44</v>
      </c>
      <c r="N102" s="6" t="s">
        <v>36</v>
      </c>
      <c r="O102" s="8">
        <v>2776035.44</v>
      </c>
      <c r="P102" s="6" t="s">
        <v>36</v>
      </c>
      <c r="Q102" s="8">
        <v>2782295.31</v>
      </c>
      <c r="R102" s="6" t="s">
        <v>37</v>
      </c>
      <c r="S102" s="8">
        <v>2782295.31</v>
      </c>
      <c r="T102" s="6" t="s">
        <v>37</v>
      </c>
      <c r="U102" s="6" t="s">
        <v>281</v>
      </c>
      <c r="V102" s="6" t="s">
        <v>282</v>
      </c>
      <c r="W102" s="6" t="s">
        <v>283</v>
      </c>
      <c r="X102" s="6" t="s">
        <v>68</v>
      </c>
      <c r="Y102" s="6" t="s">
        <v>278</v>
      </c>
      <c r="Z102" s="8">
        <v>1855.42</v>
      </c>
      <c r="AA102" s="9"/>
      <c r="AB102" s="8">
        <v>1879432.53</v>
      </c>
      <c r="AC102" s="6" t="s">
        <v>42</v>
      </c>
      <c r="AD102" s="6" t="s">
        <v>278</v>
      </c>
      <c r="AE102" s="6" t="s">
        <v>457</v>
      </c>
    </row>
    <row r="103" spans="1:31">
      <c r="A103" s="4"/>
      <c r="B103" s="4"/>
      <c r="C103" s="4"/>
      <c r="D103" s="6" t="s">
        <v>27</v>
      </c>
      <c r="E103" s="6" t="s">
        <v>28</v>
      </c>
      <c r="F103" s="6" t="s">
        <v>29</v>
      </c>
      <c r="G103" s="6" t="s">
        <v>30</v>
      </c>
      <c r="H103" s="6" t="s">
        <v>31</v>
      </c>
      <c r="I103" s="6" t="s">
        <v>32</v>
      </c>
      <c r="J103" s="6" t="s">
        <v>33</v>
      </c>
      <c r="K103" s="6" t="s">
        <v>34</v>
      </c>
      <c r="L103" s="6" t="s">
        <v>35</v>
      </c>
      <c r="M103" s="8">
        <v>2776035.44</v>
      </c>
      <c r="N103" s="6" t="s">
        <v>36</v>
      </c>
      <c r="O103" s="8">
        <v>2776035.44</v>
      </c>
      <c r="P103" s="6" t="s">
        <v>36</v>
      </c>
      <c r="Q103" s="8">
        <v>2782295.31</v>
      </c>
      <c r="R103" s="6" t="s">
        <v>37</v>
      </c>
      <c r="S103" s="8">
        <v>2782295.31</v>
      </c>
      <c r="T103" s="6" t="s">
        <v>37</v>
      </c>
      <c r="U103" s="6" t="s">
        <v>284</v>
      </c>
      <c r="V103" s="6" t="s">
        <v>285</v>
      </c>
      <c r="W103" s="6" t="s">
        <v>67</v>
      </c>
      <c r="X103" s="6" t="s">
        <v>68</v>
      </c>
      <c r="Y103" s="6" t="s">
        <v>278</v>
      </c>
      <c r="Z103" s="8">
        <v>1186.9100000000001</v>
      </c>
      <c r="AA103" s="9"/>
      <c r="AB103" s="8">
        <v>1877577.11</v>
      </c>
      <c r="AC103" s="6" t="s">
        <v>42</v>
      </c>
      <c r="AD103" s="6" t="s">
        <v>278</v>
      </c>
      <c r="AE103" s="6" t="s">
        <v>457</v>
      </c>
    </row>
    <row r="104" spans="1:31">
      <c r="A104" s="4"/>
      <c r="B104" s="4"/>
      <c r="C104" s="4"/>
      <c r="D104" s="6" t="s">
        <v>27</v>
      </c>
      <c r="E104" s="6" t="s">
        <v>28</v>
      </c>
      <c r="F104" s="6" t="s">
        <v>29</v>
      </c>
      <c r="G104" s="6" t="s">
        <v>30</v>
      </c>
      <c r="H104" s="6" t="s">
        <v>31</v>
      </c>
      <c r="I104" s="6" t="s">
        <v>32</v>
      </c>
      <c r="J104" s="6" t="s">
        <v>33</v>
      </c>
      <c r="K104" s="6" t="s">
        <v>34</v>
      </c>
      <c r="L104" s="6" t="s">
        <v>35</v>
      </c>
      <c r="M104" s="8">
        <v>2776035.44</v>
      </c>
      <c r="N104" s="6" t="s">
        <v>36</v>
      </c>
      <c r="O104" s="8">
        <v>2776035.44</v>
      </c>
      <c r="P104" s="6" t="s">
        <v>36</v>
      </c>
      <c r="Q104" s="8">
        <v>2782295.31</v>
      </c>
      <c r="R104" s="6" t="s">
        <v>37</v>
      </c>
      <c r="S104" s="8">
        <v>2782295.31</v>
      </c>
      <c r="T104" s="6" t="s">
        <v>37</v>
      </c>
      <c r="U104" s="6" t="s">
        <v>286</v>
      </c>
      <c r="V104" s="6" t="s">
        <v>287</v>
      </c>
      <c r="W104" s="6" t="s">
        <v>288</v>
      </c>
      <c r="X104" s="6" t="s">
        <v>41</v>
      </c>
      <c r="Y104" s="6" t="s">
        <v>289</v>
      </c>
      <c r="Z104" s="8">
        <v>21763.08</v>
      </c>
      <c r="AA104" s="9"/>
      <c r="AB104" s="8">
        <v>1876390.2</v>
      </c>
      <c r="AC104" s="6" t="s">
        <v>42</v>
      </c>
      <c r="AD104" s="6" t="s">
        <v>289</v>
      </c>
      <c r="AE104" s="6" t="s">
        <v>457</v>
      </c>
    </row>
    <row r="105" spans="1:31">
      <c r="A105" s="4"/>
      <c r="B105" s="4"/>
      <c r="C105" s="4"/>
      <c r="D105" s="6" t="s">
        <v>27</v>
      </c>
      <c r="E105" s="6" t="s">
        <v>28</v>
      </c>
      <c r="F105" s="6" t="s">
        <v>29</v>
      </c>
      <c r="G105" s="6" t="s">
        <v>30</v>
      </c>
      <c r="H105" s="6" t="s">
        <v>31</v>
      </c>
      <c r="I105" s="6" t="s">
        <v>32</v>
      </c>
      <c r="J105" s="6" t="s">
        <v>33</v>
      </c>
      <c r="K105" s="6" t="s">
        <v>34</v>
      </c>
      <c r="L105" s="6" t="s">
        <v>35</v>
      </c>
      <c r="M105" s="8">
        <v>2776035.44</v>
      </c>
      <c r="N105" s="6" t="s">
        <v>36</v>
      </c>
      <c r="O105" s="8">
        <v>2776035.44</v>
      </c>
      <c r="P105" s="6" t="s">
        <v>36</v>
      </c>
      <c r="Q105" s="8">
        <v>2782295.31</v>
      </c>
      <c r="R105" s="6" t="s">
        <v>37</v>
      </c>
      <c r="S105" s="8">
        <v>2782295.31</v>
      </c>
      <c r="T105" s="6" t="s">
        <v>37</v>
      </c>
      <c r="U105" s="6" t="s">
        <v>290</v>
      </c>
      <c r="V105" s="6" t="s">
        <v>291</v>
      </c>
      <c r="W105" s="6" t="s">
        <v>292</v>
      </c>
      <c r="X105" s="6" t="s">
        <v>41</v>
      </c>
      <c r="Y105" s="6" t="s">
        <v>289</v>
      </c>
      <c r="Z105" s="8">
        <v>855.43</v>
      </c>
      <c r="AA105" s="9"/>
      <c r="AB105" s="8">
        <v>1854627.12</v>
      </c>
      <c r="AC105" s="6" t="s">
        <v>42</v>
      </c>
      <c r="AD105" s="6" t="s">
        <v>289</v>
      </c>
      <c r="AE105" s="6" t="s">
        <v>457</v>
      </c>
    </row>
    <row r="106" spans="1:31">
      <c r="A106" s="4"/>
      <c r="B106" s="4"/>
      <c r="C106" s="4"/>
      <c r="D106" s="6" t="s">
        <v>27</v>
      </c>
      <c r="E106" s="6" t="s">
        <v>28</v>
      </c>
      <c r="F106" s="6" t="s">
        <v>29</v>
      </c>
      <c r="G106" s="6" t="s">
        <v>30</v>
      </c>
      <c r="H106" s="6" t="s">
        <v>31</v>
      </c>
      <c r="I106" s="6" t="s">
        <v>32</v>
      </c>
      <c r="J106" s="6" t="s">
        <v>33</v>
      </c>
      <c r="K106" s="6" t="s">
        <v>34</v>
      </c>
      <c r="L106" s="6" t="s">
        <v>35</v>
      </c>
      <c r="M106" s="8">
        <v>2776035.44</v>
      </c>
      <c r="N106" s="6" t="s">
        <v>36</v>
      </c>
      <c r="O106" s="8">
        <v>2776035.44</v>
      </c>
      <c r="P106" s="6" t="s">
        <v>36</v>
      </c>
      <c r="Q106" s="8">
        <v>2782295.31</v>
      </c>
      <c r="R106" s="6" t="s">
        <v>37</v>
      </c>
      <c r="S106" s="8">
        <v>2782295.31</v>
      </c>
      <c r="T106" s="6" t="s">
        <v>37</v>
      </c>
      <c r="U106" s="6" t="s">
        <v>293</v>
      </c>
      <c r="V106" s="6" t="s">
        <v>294</v>
      </c>
      <c r="W106" s="6" t="s">
        <v>295</v>
      </c>
      <c r="X106" s="6" t="s">
        <v>41</v>
      </c>
      <c r="Y106" s="6" t="s">
        <v>296</v>
      </c>
      <c r="Z106" s="8">
        <v>3451</v>
      </c>
      <c r="AA106" s="9"/>
      <c r="AB106" s="8">
        <v>1853771.69</v>
      </c>
      <c r="AC106" s="6" t="s">
        <v>42</v>
      </c>
      <c r="AD106" s="6" t="s">
        <v>296</v>
      </c>
      <c r="AE106" s="6" t="s">
        <v>457</v>
      </c>
    </row>
    <row r="107" spans="1:31">
      <c r="A107" s="4"/>
      <c r="B107" s="4"/>
      <c r="C107" s="4"/>
      <c r="D107" s="6" t="s">
        <v>27</v>
      </c>
      <c r="E107" s="6" t="s">
        <v>28</v>
      </c>
      <c r="F107" s="6" t="s">
        <v>29</v>
      </c>
      <c r="G107" s="6" t="s">
        <v>30</v>
      </c>
      <c r="H107" s="6" t="s">
        <v>31</v>
      </c>
      <c r="I107" s="6" t="s">
        <v>32</v>
      </c>
      <c r="J107" s="6" t="s">
        <v>33</v>
      </c>
      <c r="K107" s="6" t="s">
        <v>34</v>
      </c>
      <c r="L107" s="6" t="s">
        <v>35</v>
      </c>
      <c r="M107" s="8">
        <v>2776035.44</v>
      </c>
      <c r="N107" s="6" t="s">
        <v>36</v>
      </c>
      <c r="O107" s="8">
        <v>2776035.44</v>
      </c>
      <c r="P107" s="6" t="s">
        <v>36</v>
      </c>
      <c r="Q107" s="8">
        <v>2782295.31</v>
      </c>
      <c r="R107" s="6" t="s">
        <v>37</v>
      </c>
      <c r="S107" s="8">
        <v>2782295.31</v>
      </c>
      <c r="T107" s="6" t="s">
        <v>37</v>
      </c>
      <c r="U107" s="6" t="s">
        <v>297</v>
      </c>
      <c r="V107" s="6" t="s">
        <v>298</v>
      </c>
      <c r="W107" s="6" t="s">
        <v>299</v>
      </c>
      <c r="X107" s="6" t="s">
        <v>41</v>
      </c>
      <c r="Y107" s="6" t="s">
        <v>296</v>
      </c>
      <c r="Z107" s="8">
        <v>3139.34</v>
      </c>
      <c r="AA107" s="9"/>
      <c r="AB107" s="8">
        <v>1850320.69</v>
      </c>
      <c r="AC107" s="6" t="s">
        <v>42</v>
      </c>
      <c r="AD107" s="6" t="s">
        <v>296</v>
      </c>
      <c r="AE107" s="6" t="s">
        <v>457</v>
      </c>
    </row>
    <row r="108" spans="1:31">
      <c r="A108" s="4"/>
      <c r="B108" s="4"/>
      <c r="C108" s="4"/>
      <c r="D108" s="6" t="s">
        <v>27</v>
      </c>
      <c r="E108" s="6" t="s">
        <v>28</v>
      </c>
      <c r="F108" s="6" t="s">
        <v>29</v>
      </c>
      <c r="G108" s="6" t="s">
        <v>30</v>
      </c>
      <c r="H108" s="6" t="s">
        <v>31</v>
      </c>
      <c r="I108" s="6" t="s">
        <v>32</v>
      </c>
      <c r="J108" s="6" t="s">
        <v>33</v>
      </c>
      <c r="K108" s="6" t="s">
        <v>34</v>
      </c>
      <c r="L108" s="6" t="s">
        <v>35</v>
      </c>
      <c r="M108" s="8">
        <v>2776035.44</v>
      </c>
      <c r="N108" s="6" t="s">
        <v>36</v>
      </c>
      <c r="O108" s="8">
        <v>2776035.44</v>
      </c>
      <c r="P108" s="6" t="s">
        <v>36</v>
      </c>
      <c r="Q108" s="8">
        <v>2782295.31</v>
      </c>
      <c r="R108" s="6" t="s">
        <v>37</v>
      </c>
      <c r="S108" s="8">
        <v>2782295.31</v>
      </c>
      <c r="T108" s="6" t="s">
        <v>37</v>
      </c>
      <c r="U108" s="6" t="s">
        <v>300</v>
      </c>
      <c r="V108" s="6" t="s">
        <v>301</v>
      </c>
      <c r="W108" s="6" t="s">
        <v>302</v>
      </c>
      <c r="X108" s="6" t="s">
        <v>41</v>
      </c>
      <c r="Y108" s="6" t="s">
        <v>303</v>
      </c>
      <c r="Z108" s="8">
        <v>26.08</v>
      </c>
      <c r="AA108" s="9"/>
      <c r="AB108" s="8">
        <v>1847181.35</v>
      </c>
      <c r="AC108" s="6" t="s">
        <v>42</v>
      </c>
      <c r="AD108" s="6" t="s">
        <v>303</v>
      </c>
      <c r="AE108" s="6" t="s">
        <v>457</v>
      </c>
    </row>
    <row r="109" spans="1:31">
      <c r="A109" s="4"/>
      <c r="B109" s="4"/>
      <c r="C109" s="4"/>
      <c r="D109" s="6" t="s">
        <v>27</v>
      </c>
      <c r="E109" s="6" t="s">
        <v>28</v>
      </c>
      <c r="F109" s="6" t="s">
        <v>29</v>
      </c>
      <c r="G109" s="6" t="s">
        <v>30</v>
      </c>
      <c r="H109" s="6" t="s">
        <v>31</v>
      </c>
      <c r="I109" s="6" t="s">
        <v>32</v>
      </c>
      <c r="J109" s="6" t="s">
        <v>33</v>
      </c>
      <c r="K109" s="6" t="s">
        <v>34</v>
      </c>
      <c r="L109" s="6" t="s">
        <v>35</v>
      </c>
      <c r="M109" s="8">
        <v>2776035.44</v>
      </c>
      <c r="N109" s="6" t="s">
        <v>36</v>
      </c>
      <c r="O109" s="8">
        <v>2776035.44</v>
      </c>
      <c r="P109" s="6" t="s">
        <v>36</v>
      </c>
      <c r="Q109" s="8">
        <v>2782295.31</v>
      </c>
      <c r="R109" s="6" t="s">
        <v>37</v>
      </c>
      <c r="S109" s="8">
        <v>2782295.31</v>
      </c>
      <c r="T109" s="6" t="s">
        <v>37</v>
      </c>
      <c r="U109" s="6" t="s">
        <v>304</v>
      </c>
      <c r="V109" s="6" t="s">
        <v>305</v>
      </c>
      <c r="W109" s="6" t="s">
        <v>48</v>
      </c>
      <c r="X109" s="6" t="s">
        <v>49</v>
      </c>
      <c r="Y109" s="6" t="s">
        <v>303</v>
      </c>
      <c r="Z109" s="8">
        <v>8056.72</v>
      </c>
      <c r="AA109" s="9"/>
      <c r="AB109" s="8">
        <v>1847155.27</v>
      </c>
      <c r="AC109" s="6" t="s">
        <v>42</v>
      </c>
      <c r="AD109" s="6" t="s">
        <v>303</v>
      </c>
      <c r="AE109" s="6" t="s">
        <v>457</v>
      </c>
    </row>
    <row r="110" spans="1:31">
      <c r="A110" s="4"/>
      <c r="B110" s="4"/>
      <c r="C110" s="4"/>
      <c r="D110" s="6" t="s">
        <v>27</v>
      </c>
      <c r="E110" s="6" t="s">
        <v>28</v>
      </c>
      <c r="F110" s="6" t="s">
        <v>29</v>
      </c>
      <c r="G110" s="6" t="s">
        <v>30</v>
      </c>
      <c r="H110" s="6" t="s">
        <v>31</v>
      </c>
      <c r="I110" s="6" t="s">
        <v>32</v>
      </c>
      <c r="J110" s="6" t="s">
        <v>33</v>
      </c>
      <c r="K110" s="6" t="s">
        <v>34</v>
      </c>
      <c r="L110" s="6" t="s">
        <v>35</v>
      </c>
      <c r="M110" s="8">
        <v>2776035.44</v>
      </c>
      <c r="N110" s="6" t="s">
        <v>36</v>
      </c>
      <c r="O110" s="8">
        <v>2776035.44</v>
      </c>
      <c r="P110" s="6" t="s">
        <v>36</v>
      </c>
      <c r="Q110" s="8">
        <v>2782295.31</v>
      </c>
      <c r="R110" s="6" t="s">
        <v>37</v>
      </c>
      <c r="S110" s="8">
        <v>2782295.31</v>
      </c>
      <c r="T110" s="6" t="s">
        <v>37</v>
      </c>
      <c r="U110" s="6" t="s">
        <v>306</v>
      </c>
      <c r="V110" s="6" t="s">
        <v>307</v>
      </c>
      <c r="W110" s="6" t="s">
        <v>48</v>
      </c>
      <c r="X110" s="6" t="s">
        <v>49</v>
      </c>
      <c r="Y110" s="6" t="s">
        <v>303</v>
      </c>
      <c r="Z110" s="8">
        <v>21501.88</v>
      </c>
      <c r="AA110" s="9"/>
      <c r="AB110" s="8">
        <v>1839098.55</v>
      </c>
      <c r="AC110" s="6" t="s">
        <v>42</v>
      </c>
      <c r="AD110" s="6" t="s">
        <v>303</v>
      </c>
      <c r="AE110" s="6" t="s">
        <v>457</v>
      </c>
    </row>
    <row r="111" spans="1:31">
      <c r="A111" s="4"/>
      <c r="B111" s="4"/>
      <c r="C111" s="4"/>
      <c r="D111" s="6" t="s">
        <v>27</v>
      </c>
      <c r="E111" s="6" t="s">
        <v>28</v>
      </c>
      <c r="F111" s="6" t="s">
        <v>29</v>
      </c>
      <c r="G111" s="6" t="s">
        <v>30</v>
      </c>
      <c r="H111" s="6" t="s">
        <v>31</v>
      </c>
      <c r="I111" s="6" t="s">
        <v>32</v>
      </c>
      <c r="J111" s="6" t="s">
        <v>33</v>
      </c>
      <c r="K111" s="6" t="s">
        <v>34</v>
      </c>
      <c r="L111" s="6" t="s">
        <v>35</v>
      </c>
      <c r="M111" s="8">
        <v>2776035.44</v>
      </c>
      <c r="N111" s="6" t="s">
        <v>36</v>
      </c>
      <c r="O111" s="8">
        <v>2776035.44</v>
      </c>
      <c r="P111" s="6" t="s">
        <v>36</v>
      </c>
      <c r="Q111" s="8">
        <v>2782295.31</v>
      </c>
      <c r="R111" s="6" t="s">
        <v>37</v>
      </c>
      <c r="S111" s="8">
        <v>2782295.31</v>
      </c>
      <c r="T111" s="6" t="s">
        <v>37</v>
      </c>
      <c r="U111" s="6" t="s">
        <v>308</v>
      </c>
      <c r="V111" s="6" t="s">
        <v>309</v>
      </c>
      <c r="W111" s="6" t="s">
        <v>48</v>
      </c>
      <c r="X111" s="6" t="s">
        <v>49</v>
      </c>
      <c r="Y111" s="6" t="s">
        <v>303</v>
      </c>
      <c r="Z111" s="8">
        <v>15929.88</v>
      </c>
      <c r="AA111" s="9"/>
      <c r="AB111" s="8">
        <v>1817596.67</v>
      </c>
      <c r="AC111" s="6" t="s">
        <v>42</v>
      </c>
      <c r="AD111" s="6" t="s">
        <v>303</v>
      </c>
      <c r="AE111" s="6" t="s">
        <v>457</v>
      </c>
    </row>
    <row r="112" spans="1:31">
      <c r="A112" s="4"/>
      <c r="B112" s="4"/>
      <c r="C112" s="4"/>
      <c r="D112" s="6" t="s">
        <v>27</v>
      </c>
      <c r="E112" s="6" t="s">
        <v>28</v>
      </c>
      <c r="F112" s="6" t="s">
        <v>29</v>
      </c>
      <c r="G112" s="6" t="s">
        <v>30</v>
      </c>
      <c r="H112" s="6" t="s">
        <v>31</v>
      </c>
      <c r="I112" s="6" t="s">
        <v>32</v>
      </c>
      <c r="J112" s="6" t="s">
        <v>33</v>
      </c>
      <c r="K112" s="6" t="s">
        <v>34</v>
      </c>
      <c r="L112" s="6" t="s">
        <v>35</v>
      </c>
      <c r="M112" s="8">
        <v>2776035.44</v>
      </c>
      <c r="N112" s="6" t="s">
        <v>36</v>
      </c>
      <c r="O112" s="8">
        <v>2776035.44</v>
      </c>
      <c r="P112" s="6" t="s">
        <v>36</v>
      </c>
      <c r="Q112" s="8">
        <v>2782295.31</v>
      </c>
      <c r="R112" s="6" t="s">
        <v>37</v>
      </c>
      <c r="S112" s="8">
        <v>2782295.31</v>
      </c>
      <c r="T112" s="6" t="s">
        <v>37</v>
      </c>
      <c r="U112" s="6" t="s">
        <v>310</v>
      </c>
      <c r="V112" s="6" t="s">
        <v>311</v>
      </c>
      <c r="W112" s="6" t="s">
        <v>48</v>
      </c>
      <c r="X112" s="6" t="s">
        <v>49</v>
      </c>
      <c r="Y112" s="6" t="s">
        <v>303</v>
      </c>
      <c r="Z112" s="8">
        <v>10938.56</v>
      </c>
      <c r="AA112" s="9"/>
      <c r="AB112" s="8">
        <v>1801666.79</v>
      </c>
      <c r="AC112" s="6" t="s">
        <v>42</v>
      </c>
      <c r="AD112" s="6" t="s">
        <v>303</v>
      </c>
      <c r="AE112" s="6" t="s">
        <v>457</v>
      </c>
    </row>
    <row r="113" spans="1:31">
      <c r="A113" s="4"/>
      <c r="B113" s="4"/>
      <c r="C113" s="4"/>
      <c r="D113" s="6" t="s">
        <v>27</v>
      </c>
      <c r="E113" s="6" t="s">
        <v>28</v>
      </c>
      <c r="F113" s="6" t="s">
        <v>29</v>
      </c>
      <c r="G113" s="6" t="s">
        <v>30</v>
      </c>
      <c r="H113" s="6" t="s">
        <v>31</v>
      </c>
      <c r="I113" s="6" t="s">
        <v>32</v>
      </c>
      <c r="J113" s="6" t="s">
        <v>33</v>
      </c>
      <c r="K113" s="6" t="s">
        <v>34</v>
      </c>
      <c r="L113" s="6" t="s">
        <v>35</v>
      </c>
      <c r="M113" s="8">
        <v>2776035.44</v>
      </c>
      <c r="N113" s="6" t="s">
        <v>36</v>
      </c>
      <c r="O113" s="8">
        <v>2776035.44</v>
      </c>
      <c r="P113" s="6" t="s">
        <v>36</v>
      </c>
      <c r="Q113" s="8">
        <v>2782295.31</v>
      </c>
      <c r="R113" s="6" t="s">
        <v>37</v>
      </c>
      <c r="S113" s="8">
        <v>2782295.31</v>
      </c>
      <c r="T113" s="6" t="s">
        <v>37</v>
      </c>
      <c r="U113" s="6" t="s">
        <v>312</v>
      </c>
      <c r="V113" s="6" t="s">
        <v>313</v>
      </c>
      <c r="W113" s="6" t="s">
        <v>67</v>
      </c>
      <c r="X113" s="6" t="s">
        <v>68</v>
      </c>
      <c r="Y113" s="6" t="s">
        <v>303</v>
      </c>
      <c r="Z113" s="8">
        <v>313.89999999999998</v>
      </c>
      <c r="AA113" s="9"/>
      <c r="AB113" s="8">
        <v>1790728.23</v>
      </c>
      <c r="AC113" s="6" t="s">
        <v>42</v>
      </c>
      <c r="AD113" s="6" t="s">
        <v>303</v>
      </c>
      <c r="AE113" s="6" t="s">
        <v>457</v>
      </c>
    </row>
    <row r="114" spans="1:31">
      <c r="A114" s="4"/>
      <c r="B114" s="4"/>
      <c r="C114" s="4"/>
      <c r="D114" s="6" t="s">
        <v>27</v>
      </c>
      <c r="E114" s="6" t="s">
        <v>28</v>
      </c>
      <c r="F114" s="6" t="s">
        <v>29</v>
      </c>
      <c r="G114" s="6" t="s">
        <v>30</v>
      </c>
      <c r="H114" s="6" t="s">
        <v>31</v>
      </c>
      <c r="I114" s="6" t="s">
        <v>32</v>
      </c>
      <c r="J114" s="6" t="s">
        <v>33</v>
      </c>
      <c r="K114" s="6" t="s">
        <v>34</v>
      </c>
      <c r="L114" s="6" t="s">
        <v>35</v>
      </c>
      <c r="M114" s="8">
        <v>2776035.44</v>
      </c>
      <c r="N114" s="6" t="s">
        <v>36</v>
      </c>
      <c r="O114" s="8">
        <v>2776035.44</v>
      </c>
      <c r="P114" s="6" t="s">
        <v>36</v>
      </c>
      <c r="Q114" s="8">
        <v>2782295.31</v>
      </c>
      <c r="R114" s="6" t="s">
        <v>37</v>
      </c>
      <c r="S114" s="8">
        <v>2782295.31</v>
      </c>
      <c r="T114" s="6" t="s">
        <v>37</v>
      </c>
      <c r="U114" s="6" t="s">
        <v>314</v>
      </c>
      <c r="V114" s="6" t="s">
        <v>315</v>
      </c>
      <c r="W114" s="6" t="s">
        <v>316</v>
      </c>
      <c r="X114" s="6" t="s">
        <v>41</v>
      </c>
      <c r="Y114" s="6" t="s">
        <v>317</v>
      </c>
      <c r="Z114" s="8">
        <v>6731.72</v>
      </c>
      <c r="AA114" s="9"/>
      <c r="AB114" s="8">
        <v>1790414.33</v>
      </c>
      <c r="AC114" s="6" t="s">
        <v>42</v>
      </c>
      <c r="AD114" s="6" t="s">
        <v>317</v>
      </c>
      <c r="AE114" s="6" t="s">
        <v>457</v>
      </c>
    </row>
    <row r="115" spans="1:31">
      <c r="A115" s="4"/>
      <c r="B115" s="4"/>
      <c r="C115" s="4"/>
      <c r="D115" s="6" t="s">
        <v>27</v>
      </c>
      <c r="E115" s="6" t="s">
        <v>28</v>
      </c>
      <c r="F115" s="6" t="s">
        <v>29</v>
      </c>
      <c r="G115" s="6" t="s">
        <v>30</v>
      </c>
      <c r="H115" s="6" t="s">
        <v>31</v>
      </c>
      <c r="I115" s="6" t="s">
        <v>32</v>
      </c>
      <c r="J115" s="6" t="s">
        <v>33</v>
      </c>
      <c r="K115" s="6" t="s">
        <v>34</v>
      </c>
      <c r="L115" s="6" t="s">
        <v>35</v>
      </c>
      <c r="M115" s="8">
        <v>2776035.44</v>
      </c>
      <c r="N115" s="6" t="s">
        <v>36</v>
      </c>
      <c r="O115" s="8">
        <v>2776035.44</v>
      </c>
      <c r="P115" s="6" t="s">
        <v>36</v>
      </c>
      <c r="Q115" s="8">
        <v>2782295.31</v>
      </c>
      <c r="R115" s="6" t="s">
        <v>37</v>
      </c>
      <c r="S115" s="8">
        <v>2782295.31</v>
      </c>
      <c r="T115" s="6" t="s">
        <v>37</v>
      </c>
      <c r="U115" s="6" t="s">
        <v>318</v>
      </c>
      <c r="V115" s="6" t="s">
        <v>319</v>
      </c>
      <c r="W115" s="6" t="s">
        <v>48</v>
      </c>
      <c r="X115" s="6" t="s">
        <v>49</v>
      </c>
      <c r="Y115" s="6" t="s">
        <v>317</v>
      </c>
      <c r="Z115" s="8">
        <v>2647.14</v>
      </c>
      <c r="AA115" s="9"/>
      <c r="AB115" s="8">
        <v>1783682.61</v>
      </c>
      <c r="AC115" s="6" t="s">
        <v>42</v>
      </c>
      <c r="AD115" s="6" t="s">
        <v>317</v>
      </c>
      <c r="AE115" s="6" t="s">
        <v>457</v>
      </c>
    </row>
    <row r="116" spans="1:31">
      <c r="A116" s="4"/>
      <c r="B116" s="4"/>
      <c r="C116" s="4"/>
      <c r="D116" s="6" t="s">
        <v>27</v>
      </c>
      <c r="E116" s="6" t="s">
        <v>28</v>
      </c>
      <c r="F116" s="6" t="s">
        <v>29</v>
      </c>
      <c r="G116" s="6" t="s">
        <v>30</v>
      </c>
      <c r="H116" s="6" t="s">
        <v>31</v>
      </c>
      <c r="I116" s="6" t="s">
        <v>32</v>
      </c>
      <c r="J116" s="6" t="s">
        <v>33</v>
      </c>
      <c r="K116" s="6" t="s">
        <v>34</v>
      </c>
      <c r="L116" s="6" t="s">
        <v>35</v>
      </c>
      <c r="M116" s="8">
        <v>2776035.44</v>
      </c>
      <c r="N116" s="6" t="s">
        <v>36</v>
      </c>
      <c r="O116" s="8">
        <v>2776035.44</v>
      </c>
      <c r="P116" s="6" t="s">
        <v>36</v>
      </c>
      <c r="Q116" s="8">
        <v>2782295.31</v>
      </c>
      <c r="R116" s="6" t="s">
        <v>37</v>
      </c>
      <c r="S116" s="8">
        <v>2782295.31</v>
      </c>
      <c r="T116" s="6" t="s">
        <v>37</v>
      </c>
      <c r="U116" s="6" t="s">
        <v>320</v>
      </c>
      <c r="V116" s="6" t="s">
        <v>321</v>
      </c>
      <c r="W116" s="6" t="s">
        <v>322</v>
      </c>
      <c r="X116" s="6" t="s">
        <v>41</v>
      </c>
      <c r="Y116" s="6" t="s">
        <v>323</v>
      </c>
      <c r="Z116" s="8">
        <v>20685.080000000002</v>
      </c>
      <c r="AA116" s="9"/>
      <c r="AB116" s="8">
        <v>1781035.47</v>
      </c>
      <c r="AC116" s="6" t="s">
        <v>42</v>
      </c>
      <c r="AD116" s="6" t="s">
        <v>323</v>
      </c>
      <c r="AE116" s="6" t="s">
        <v>457</v>
      </c>
    </row>
    <row r="117" spans="1:31">
      <c r="A117" s="4"/>
      <c r="B117" s="4"/>
      <c r="C117" s="4"/>
      <c r="D117" s="6" t="s">
        <v>27</v>
      </c>
      <c r="E117" s="6" t="s">
        <v>28</v>
      </c>
      <c r="F117" s="6" t="s">
        <v>29</v>
      </c>
      <c r="G117" s="6" t="s">
        <v>30</v>
      </c>
      <c r="H117" s="6" t="s">
        <v>31</v>
      </c>
      <c r="I117" s="6" t="s">
        <v>32</v>
      </c>
      <c r="J117" s="6" t="s">
        <v>33</v>
      </c>
      <c r="K117" s="6" t="s">
        <v>34</v>
      </c>
      <c r="L117" s="6" t="s">
        <v>35</v>
      </c>
      <c r="M117" s="8">
        <v>2776035.44</v>
      </c>
      <c r="N117" s="6" t="s">
        <v>36</v>
      </c>
      <c r="O117" s="8">
        <v>2776035.44</v>
      </c>
      <c r="P117" s="6" t="s">
        <v>36</v>
      </c>
      <c r="Q117" s="8">
        <v>2782295.31</v>
      </c>
      <c r="R117" s="6" t="s">
        <v>37</v>
      </c>
      <c r="S117" s="8">
        <v>2782295.31</v>
      </c>
      <c r="T117" s="6" t="s">
        <v>37</v>
      </c>
      <c r="U117" s="6" t="s">
        <v>324</v>
      </c>
      <c r="V117" s="6" t="s">
        <v>325</v>
      </c>
      <c r="W117" s="6" t="s">
        <v>295</v>
      </c>
      <c r="X117" s="6" t="s">
        <v>41</v>
      </c>
      <c r="Y117" s="6" t="s">
        <v>323</v>
      </c>
      <c r="Z117" s="8">
        <v>3.37</v>
      </c>
      <c r="AA117" s="9"/>
      <c r="AB117" s="8">
        <v>1760350.39</v>
      </c>
      <c r="AC117" s="6" t="s">
        <v>42</v>
      </c>
      <c r="AD117" s="6" t="s">
        <v>323</v>
      </c>
      <c r="AE117" s="6" t="s">
        <v>457</v>
      </c>
    </row>
    <row r="118" spans="1:31">
      <c r="A118" s="4"/>
      <c r="B118" s="4"/>
      <c r="C118" s="4"/>
      <c r="D118" s="6" t="s">
        <v>27</v>
      </c>
      <c r="E118" s="6" t="s">
        <v>28</v>
      </c>
      <c r="F118" s="6" t="s">
        <v>29</v>
      </c>
      <c r="G118" s="6" t="s">
        <v>30</v>
      </c>
      <c r="H118" s="6" t="s">
        <v>31</v>
      </c>
      <c r="I118" s="6" t="s">
        <v>32</v>
      </c>
      <c r="J118" s="6" t="s">
        <v>33</v>
      </c>
      <c r="K118" s="6" t="s">
        <v>34</v>
      </c>
      <c r="L118" s="6" t="s">
        <v>35</v>
      </c>
      <c r="M118" s="8">
        <v>2776035.44</v>
      </c>
      <c r="N118" s="6" t="s">
        <v>36</v>
      </c>
      <c r="O118" s="8">
        <v>2776035.44</v>
      </c>
      <c r="P118" s="6" t="s">
        <v>36</v>
      </c>
      <c r="Q118" s="8">
        <v>2782295.31</v>
      </c>
      <c r="R118" s="6" t="s">
        <v>37</v>
      </c>
      <c r="S118" s="8">
        <v>2782295.31</v>
      </c>
      <c r="T118" s="6" t="s">
        <v>37</v>
      </c>
      <c r="U118" s="6" t="s">
        <v>326</v>
      </c>
      <c r="V118" s="6" t="s">
        <v>327</v>
      </c>
      <c r="W118" s="6" t="s">
        <v>48</v>
      </c>
      <c r="X118" s="6" t="s">
        <v>49</v>
      </c>
      <c r="Y118" s="6" t="s">
        <v>323</v>
      </c>
      <c r="Z118" s="8">
        <v>14652.86</v>
      </c>
      <c r="AA118" s="9"/>
      <c r="AB118" s="8">
        <v>1760347.02</v>
      </c>
      <c r="AC118" s="6" t="s">
        <v>42</v>
      </c>
      <c r="AD118" s="6" t="s">
        <v>323</v>
      </c>
      <c r="AE118" s="6" t="s">
        <v>457</v>
      </c>
    </row>
    <row r="119" spans="1:31">
      <c r="A119" s="4"/>
      <c r="B119" s="4"/>
      <c r="C119" s="4"/>
      <c r="D119" s="6" t="s">
        <v>27</v>
      </c>
      <c r="E119" s="6" t="s">
        <v>28</v>
      </c>
      <c r="F119" s="6" t="s">
        <v>29</v>
      </c>
      <c r="G119" s="6" t="s">
        <v>30</v>
      </c>
      <c r="H119" s="6" t="s">
        <v>31</v>
      </c>
      <c r="I119" s="6" t="s">
        <v>32</v>
      </c>
      <c r="J119" s="6" t="s">
        <v>33</v>
      </c>
      <c r="K119" s="6" t="s">
        <v>34</v>
      </c>
      <c r="L119" s="6" t="s">
        <v>35</v>
      </c>
      <c r="M119" s="8">
        <v>2776035.44</v>
      </c>
      <c r="N119" s="6" t="s">
        <v>36</v>
      </c>
      <c r="O119" s="8">
        <v>2776035.44</v>
      </c>
      <c r="P119" s="6" t="s">
        <v>36</v>
      </c>
      <c r="Q119" s="8">
        <v>2782295.31</v>
      </c>
      <c r="R119" s="6" t="s">
        <v>37</v>
      </c>
      <c r="S119" s="8">
        <v>2782295.31</v>
      </c>
      <c r="T119" s="6" t="s">
        <v>37</v>
      </c>
      <c r="U119" s="6" t="s">
        <v>328</v>
      </c>
      <c r="V119" s="6" t="s">
        <v>329</v>
      </c>
      <c r="W119" s="6" t="s">
        <v>48</v>
      </c>
      <c r="X119" s="6" t="s">
        <v>49</v>
      </c>
      <c r="Y119" s="6" t="s">
        <v>323</v>
      </c>
      <c r="Z119" s="8">
        <v>18437.45</v>
      </c>
      <c r="AA119" s="9"/>
      <c r="AB119" s="8">
        <v>1745694.16</v>
      </c>
      <c r="AC119" s="6" t="s">
        <v>42</v>
      </c>
      <c r="AD119" s="6" t="s">
        <v>323</v>
      </c>
      <c r="AE119" s="6" t="s">
        <v>457</v>
      </c>
    </row>
    <row r="120" spans="1:31">
      <c r="A120" s="4"/>
      <c r="B120" s="4"/>
      <c r="C120" s="4"/>
      <c r="D120" s="6" t="s">
        <v>27</v>
      </c>
      <c r="E120" s="6" t="s">
        <v>28</v>
      </c>
      <c r="F120" s="6" t="s">
        <v>29</v>
      </c>
      <c r="G120" s="6" t="s">
        <v>30</v>
      </c>
      <c r="H120" s="6" t="s">
        <v>31</v>
      </c>
      <c r="I120" s="6" t="s">
        <v>32</v>
      </c>
      <c r="J120" s="6" t="s">
        <v>33</v>
      </c>
      <c r="K120" s="6" t="s">
        <v>34</v>
      </c>
      <c r="L120" s="6" t="s">
        <v>35</v>
      </c>
      <c r="M120" s="8">
        <v>2776035.44</v>
      </c>
      <c r="N120" s="6" t="s">
        <v>36</v>
      </c>
      <c r="O120" s="8">
        <v>2776035.44</v>
      </c>
      <c r="P120" s="6" t="s">
        <v>36</v>
      </c>
      <c r="Q120" s="8">
        <v>2782295.31</v>
      </c>
      <c r="R120" s="6" t="s">
        <v>37</v>
      </c>
      <c r="S120" s="8">
        <v>2782295.31</v>
      </c>
      <c r="T120" s="6" t="s">
        <v>37</v>
      </c>
      <c r="U120" s="6" t="s">
        <v>330</v>
      </c>
      <c r="V120" s="6" t="s">
        <v>331</v>
      </c>
      <c r="W120" s="6" t="s">
        <v>48</v>
      </c>
      <c r="X120" s="6" t="s">
        <v>49</v>
      </c>
      <c r="Y120" s="6" t="s">
        <v>323</v>
      </c>
      <c r="Z120" s="8">
        <v>2668.16</v>
      </c>
      <c r="AA120" s="9"/>
      <c r="AB120" s="8">
        <v>1727256.71</v>
      </c>
      <c r="AC120" s="6" t="s">
        <v>42</v>
      </c>
      <c r="AD120" s="6" t="s">
        <v>323</v>
      </c>
      <c r="AE120" s="6" t="s">
        <v>457</v>
      </c>
    </row>
    <row r="121" spans="1:31">
      <c r="A121" s="4"/>
      <c r="B121" s="4"/>
      <c r="C121" s="4"/>
      <c r="D121" s="6" t="s">
        <v>27</v>
      </c>
      <c r="E121" s="6" t="s">
        <v>28</v>
      </c>
      <c r="F121" s="6" t="s">
        <v>29</v>
      </c>
      <c r="G121" s="6" t="s">
        <v>30</v>
      </c>
      <c r="H121" s="6" t="s">
        <v>31</v>
      </c>
      <c r="I121" s="6" t="s">
        <v>32</v>
      </c>
      <c r="J121" s="6" t="s">
        <v>33</v>
      </c>
      <c r="K121" s="6" t="s">
        <v>34</v>
      </c>
      <c r="L121" s="6" t="s">
        <v>35</v>
      </c>
      <c r="M121" s="8">
        <v>2776035.44</v>
      </c>
      <c r="N121" s="6" t="s">
        <v>36</v>
      </c>
      <c r="O121" s="8">
        <v>2776035.44</v>
      </c>
      <c r="P121" s="6" t="s">
        <v>36</v>
      </c>
      <c r="Q121" s="8">
        <v>2782295.31</v>
      </c>
      <c r="R121" s="6" t="s">
        <v>37</v>
      </c>
      <c r="S121" s="8">
        <v>2782295.31</v>
      </c>
      <c r="T121" s="6" t="s">
        <v>37</v>
      </c>
      <c r="U121" s="6" t="s">
        <v>332</v>
      </c>
      <c r="V121" s="6" t="s">
        <v>333</v>
      </c>
      <c r="W121" s="6" t="s">
        <v>48</v>
      </c>
      <c r="X121" s="6" t="s">
        <v>49</v>
      </c>
      <c r="Y121" s="6" t="s">
        <v>323</v>
      </c>
      <c r="Z121" s="8">
        <v>2807.63</v>
      </c>
      <c r="AA121" s="9"/>
      <c r="AB121" s="8">
        <v>1724588.55</v>
      </c>
      <c r="AC121" s="6" t="s">
        <v>42</v>
      </c>
      <c r="AD121" s="6" t="s">
        <v>323</v>
      </c>
      <c r="AE121" s="6" t="s">
        <v>457</v>
      </c>
    </row>
    <row r="122" spans="1:31">
      <c r="A122" s="4"/>
      <c r="B122" s="4"/>
      <c r="C122" s="4"/>
      <c r="D122" s="6" t="s">
        <v>27</v>
      </c>
      <c r="E122" s="6" t="s">
        <v>28</v>
      </c>
      <c r="F122" s="6" t="s">
        <v>29</v>
      </c>
      <c r="G122" s="6" t="s">
        <v>30</v>
      </c>
      <c r="H122" s="6" t="s">
        <v>31</v>
      </c>
      <c r="I122" s="6" t="s">
        <v>32</v>
      </c>
      <c r="J122" s="6" t="s">
        <v>33</v>
      </c>
      <c r="K122" s="6" t="s">
        <v>34</v>
      </c>
      <c r="L122" s="6" t="s">
        <v>35</v>
      </c>
      <c r="M122" s="8">
        <v>2776035.44</v>
      </c>
      <c r="N122" s="6" t="s">
        <v>36</v>
      </c>
      <c r="O122" s="8">
        <v>2776035.44</v>
      </c>
      <c r="P122" s="6" t="s">
        <v>36</v>
      </c>
      <c r="Q122" s="8">
        <v>2782295.31</v>
      </c>
      <c r="R122" s="6" t="s">
        <v>37</v>
      </c>
      <c r="S122" s="8">
        <v>2782295.31</v>
      </c>
      <c r="T122" s="6" t="s">
        <v>37</v>
      </c>
      <c r="U122" s="6" t="s">
        <v>334</v>
      </c>
      <c r="V122" s="6" t="s">
        <v>335</v>
      </c>
      <c r="W122" s="6" t="s">
        <v>336</v>
      </c>
      <c r="X122" s="6" t="s">
        <v>41</v>
      </c>
      <c r="Y122" s="6" t="s">
        <v>337</v>
      </c>
      <c r="Z122" s="8">
        <v>1019.18</v>
      </c>
      <c r="AA122" s="9"/>
      <c r="AB122" s="8">
        <v>1721780.92</v>
      </c>
      <c r="AC122" s="6" t="s">
        <v>42</v>
      </c>
      <c r="AD122" s="6" t="s">
        <v>337</v>
      </c>
      <c r="AE122" s="6" t="s">
        <v>457</v>
      </c>
    </row>
    <row r="123" spans="1:31">
      <c r="A123" s="4"/>
      <c r="B123" s="4"/>
      <c r="C123" s="4"/>
      <c r="D123" s="6" t="s">
        <v>27</v>
      </c>
      <c r="E123" s="6" t="s">
        <v>28</v>
      </c>
      <c r="F123" s="6" t="s">
        <v>29</v>
      </c>
      <c r="G123" s="6" t="s">
        <v>30</v>
      </c>
      <c r="H123" s="6" t="s">
        <v>31</v>
      </c>
      <c r="I123" s="6" t="s">
        <v>32</v>
      </c>
      <c r="J123" s="6" t="s">
        <v>33</v>
      </c>
      <c r="K123" s="6" t="s">
        <v>34</v>
      </c>
      <c r="L123" s="6" t="s">
        <v>35</v>
      </c>
      <c r="M123" s="8">
        <v>2776035.44</v>
      </c>
      <c r="N123" s="6" t="s">
        <v>36</v>
      </c>
      <c r="O123" s="8">
        <v>2776035.44</v>
      </c>
      <c r="P123" s="6" t="s">
        <v>36</v>
      </c>
      <c r="Q123" s="8">
        <v>2782295.31</v>
      </c>
      <c r="R123" s="6" t="s">
        <v>37</v>
      </c>
      <c r="S123" s="8">
        <v>2782295.31</v>
      </c>
      <c r="T123" s="6" t="s">
        <v>37</v>
      </c>
      <c r="U123" s="6" t="s">
        <v>338</v>
      </c>
      <c r="V123" s="6" t="s">
        <v>339</v>
      </c>
      <c r="W123" s="6" t="s">
        <v>340</v>
      </c>
      <c r="X123" s="6" t="s">
        <v>41</v>
      </c>
      <c r="Y123" s="6" t="s">
        <v>337</v>
      </c>
      <c r="Z123" s="8">
        <v>4885.16</v>
      </c>
      <c r="AA123" s="9"/>
      <c r="AB123" s="8">
        <v>1720761.74</v>
      </c>
      <c r="AC123" s="6" t="s">
        <v>42</v>
      </c>
      <c r="AD123" s="6" t="s">
        <v>337</v>
      </c>
      <c r="AE123" s="6" t="s">
        <v>457</v>
      </c>
    </row>
    <row r="124" spans="1:31">
      <c r="A124" s="4"/>
      <c r="B124" s="4"/>
      <c r="C124" s="4"/>
      <c r="D124" s="6" t="s">
        <v>27</v>
      </c>
      <c r="E124" s="6" t="s">
        <v>28</v>
      </c>
      <c r="F124" s="6" t="s">
        <v>29</v>
      </c>
      <c r="G124" s="6" t="s">
        <v>30</v>
      </c>
      <c r="H124" s="6" t="s">
        <v>31</v>
      </c>
      <c r="I124" s="6" t="s">
        <v>32</v>
      </c>
      <c r="J124" s="6" t="s">
        <v>33</v>
      </c>
      <c r="K124" s="6" t="s">
        <v>34</v>
      </c>
      <c r="L124" s="6" t="s">
        <v>35</v>
      </c>
      <c r="M124" s="8">
        <v>2776035.44</v>
      </c>
      <c r="N124" s="6" t="s">
        <v>36</v>
      </c>
      <c r="O124" s="8">
        <v>2776035.44</v>
      </c>
      <c r="P124" s="6" t="s">
        <v>36</v>
      </c>
      <c r="Q124" s="8">
        <v>2782295.31</v>
      </c>
      <c r="R124" s="6" t="s">
        <v>37</v>
      </c>
      <c r="S124" s="8">
        <v>2782295.31</v>
      </c>
      <c r="T124" s="6" t="s">
        <v>37</v>
      </c>
      <c r="U124" s="6" t="s">
        <v>341</v>
      </c>
      <c r="V124" s="6" t="s">
        <v>342</v>
      </c>
      <c r="W124" s="6" t="s">
        <v>48</v>
      </c>
      <c r="X124" s="6" t="s">
        <v>49</v>
      </c>
      <c r="Y124" s="6" t="s">
        <v>337</v>
      </c>
      <c r="Z124" s="8">
        <v>12679.71</v>
      </c>
      <c r="AA124" s="9"/>
      <c r="AB124" s="8">
        <v>1715876.58</v>
      </c>
      <c r="AC124" s="6" t="s">
        <v>42</v>
      </c>
      <c r="AD124" s="6" t="s">
        <v>337</v>
      </c>
      <c r="AE124" s="6" t="s">
        <v>457</v>
      </c>
    </row>
    <row r="125" spans="1:31">
      <c r="A125" s="4"/>
      <c r="B125" s="4"/>
      <c r="C125" s="4"/>
      <c r="D125" s="6" t="s">
        <v>27</v>
      </c>
      <c r="E125" s="6" t="s">
        <v>28</v>
      </c>
      <c r="F125" s="6" t="s">
        <v>29</v>
      </c>
      <c r="G125" s="6" t="s">
        <v>30</v>
      </c>
      <c r="H125" s="6" t="s">
        <v>31</v>
      </c>
      <c r="I125" s="6" t="s">
        <v>32</v>
      </c>
      <c r="J125" s="6" t="s">
        <v>33</v>
      </c>
      <c r="K125" s="6" t="s">
        <v>34</v>
      </c>
      <c r="L125" s="6" t="s">
        <v>35</v>
      </c>
      <c r="M125" s="8">
        <v>2776035.44</v>
      </c>
      <c r="N125" s="6" t="s">
        <v>36</v>
      </c>
      <c r="O125" s="8">
        <v>2776035.44</v>
      </c>
      <c r="P125" s="6" t="s">
        <v>36</v>
      </c>
      <c r="Q125" s="8">
        <v>2782295.31</v>
      </c>
      <c r="R125" s="6" t="s">
        <v>37</v>
      </c>
      <c r="S125" s="8">
        <v>2782295.31</v>
      </c>
      <c r="T125" s="6" t="s">
        <v>37</v>
      </c>
      <c r="U125" s="6" t="s">
        <v>343</v>
      </c>
      <c r="V125" s="6" t="s">
        <v>344</v>
      </c>
      <c r="W125" s="6" t="s">
        <v>48</v>
      </c>
      <c r="X125" s="6" t="s">
        <v>49</v>
      </c>
      <c r="Y125" s="6" t="s">
        <v>337</v>
      </c>
      <c r="Z125" s="8">
        <v>30109</v>
      </c>
      <c r="AA125" s="9"/>
      <c r="AB125" s="8">
        <v>1703196.87</v>
      </c>
      <c r="AC125" s="6" t="s">
        <v>42</v>
      </c>
      <c r="AD125" s="6" t="s">
        <v>337</v>
      </c>
      <c r="AE125" s="6" t="s">
        <v>457</v>
      </c>
    </row>
    <row r="126" spans="1:31">
      <c r="A126" s="4"/>
      <c r="B126" s="4"/>
      <c r="C126" s="4"/>
      <c r="D126" s="6" t="s">
        <v>27</v>
      </c>
      <c r="E126" s="6" t="s">
        <v>28</v>
      </c>
      <c r="F126" s="6" t="s">
        <v>29</v>
      </c>
      <c r="G126" s="6" t="s">
        <v>30</v>
      </c>
      <c r="H126" s="6" t="s">
        <v>31</v>
      </c>
      <c r="I126" s="6" t="s">
        <v>32</v>
      </c>
      <c r="J126" s="6" t="s">
        <v>33</v>
      </c>
      <c r="K126" s="6" t="s">
        <v>34</v>
      </c>
      <c r="L126" s="6" t="s">
        <v>35</v>
      </c>
      <c r="M126" s="8">
        <v>2776035.44</v>
      </c>
      <c r="N126" s="6" t="s">
        <v>36</v>
      </c>
      <c r="O126" s="8">
        <v>2776035.44</v>
      </c>
      <c r="P126" s="6" t="s">
        <v>36</v>
      </c>
      <c r="Q126" s="8">
        <v>2782295.31</v>
      </c>
      <c r="R126" s="6" t="s">
        <v>37</v>
      </c>
      <c r="S126" s="8">
        <v>2782295.31</v>
      </c>
      <c r="T126" s="6" t="s">
        <v>37</v>
      </c>
      <c r="U126" s="6" t="s">
        <v>345</v>
      </c>
      <c r="V126" s="6" t="s">
        <v>346</v>
      </c>
      <c r="W126" s="6" t="s">
        <v>48</v>
      </c>
      <c r="X126" s="6" t="s">
        <v>49</v>
      </c>
      <c r="Y126" s="6" t="s">
        <v>347</v>
      </c>
      <c r="Z126" s="8">
        <v>7225.07</v>
      </c>
      <c r="AA126" s="9"/>
      <c r="AB126" s="8">
        <v>1673087.87</v>
      </c>
      <c r="AC126" s="6" t="s">
        <v>42</v>
      </c>
      <c r="AD126" s="6" t="s">
        <v>347</v>
      </c>
      <c r="AE126" s="6" t="s">
        <v>457</v>
      </c>
    </row>
    <row r="127" spans="1:31">
      <c r="A127" s="4"/>
      <c r="B127" s="4"/>
      <c r="C127" s="4"/>
      <c r="D127" s="6" t="s">
        <v>27</v>
      </c>
      <c r="E127" s="6" t="s">
        <v>28</v>
      </c>
      <c r="F127" s="6" t="s">
        <v>29</v>
      </c>
      <c r="G127" s="6" t="s">
        <v>30</v>
      </c>
      <c r="H127" s="6" t="s">
        <v>31</v>
      </c>
      <c r="I127" s="6" t="s">
        <v>32</v>
      </c>
      <c r="J127" s="6" t="s">
        <v>33</v>
      </c>
      <c r="K127" s="6" t="s">
        <v>34</v>
      </c>
      <c r="L127" s="6" t="s">
        <v>35</v>
      </c>
      <c r="M127" s="8">
        <v>2776035.44</v>
      </c>
      <c r="N127" s="6" t="s">
        <v>36</v>
      </c>
      <c r="O127" s="8">
        <v>2776035.44</v>
      </c>
      <c r="P127" s="6" t="s">
        <v>36</v>
      </c>
      <c r="Q127" s="8">
        <v>2782295.31</v>
      </c>
      <c r="R127" s="6" t="s">
        <v>37</v>
      </c>
      <c r="S127" s="8">
        <v>2782295.31</v>
      </c>
      <c r="T127" s="6" t="s">
        <v>37</v>
      </c>
      <c r="U127" s="6" t="s">
        <v>348</v>
      </c>
      <c r="V127" s="6" t="s">
        <v>349</v>
      </c>
      <c r="W127" s="6" t="s">
        <v>48</v>
      </c>
      <c r="X127" s="6" t="s">
        <v>49</v>
      </c>
      <c r="Y127" s="6" t="s">
        <v>347</v>
      </c>
      <c r="Z127" s="8">
        <v>7503.08</v>
      </c>
      <c r="AA127" s="9"/>
      <c r="AB127" s="8">
        <v>1665862.8</v>
      </c>
      <c r="AC127" s="6" t="s">
        <v>42</v>
      </c>
      <c r="AD127" s="6" t="s">
        <v>347</v>
      </c>
      <c r="AE127" s="6" t="s">
        <v>457</v>
      </c>
    </row>
    <row r="128" spans="1:31">
      <c r="A128" s="4"/>
      <c r="B128" s="4"/>
      <c r="C128" s="4"/>
      <c r="D128" s="6" t="s">
        <v>27</v>
      </c>
      <c r="E128" s="6" t="s">
        <v>28</v>
      </c>
      <c r="F128" s="6" t="s">
        <v>29</v>
      </c>
      <c r="G128" s="6" t="s">
        <v>30</v>
      </c>
      <c r="H128" s="6" t="s">
        <v>31</v>
      </c>
      <c r="I128" s="6" t="s">
        <v>32</v>
      </c>
      <c r="J128" s="6" t="s">
        <v>33</v>
      </c>
      <c r="K128" s="6" t="s">
        <v>34</v>
      </c>
      <c r="L128" s="6" t="s">
        <v>35</v>
      </c>
      <c r="M128" s="8">
        <v>2776035.44</v>
      </c>
      <c r="N128" s="6" t="s">
        <v>36</v>
      </c>
      <c r="O128" s="8">
        <v>2776035.44</v>
      </c>
      <c r="P128" s="6" t="s">
        <v>36</v>
      </c>
      <c r="Q128" s="8">
        <v>2782295.31</v>
      </c>
      <c r="R128" s="6" t="s">
        <v>37</v>
      </c>
      <c r="S128" s="8">
        <v>2782295.31</v>
      </c>
      <c r="T128" s="6" t="s">
        <v>37</v>
      </c>
      <c r="U128" s="6" t="s">
        <v>350</v>
      </c>
      <c r="V128" s="6" t="s">
        <v>351</v>
      </c>
      <c r="W128" s="6" t="s">
        <v>48</v>
      </c>
      <c r="X128" s="6" t="s">
        <v>49</v>
      </c>
      <c r="Y128" s="6" t="s">
        <v>347</v>
      </c>
      <c r="Z128" s="8">
        <v>9175</v>
      </c>
      <c r="AA128" s="9"/>
      <c r="AB128" s="8">
        <v>1658359.72</v>
      </c>
      <c r="AC128" s="6" t="s">
        <v>42</v>
      </c>
      <c r="AD128" s="6" t="s">
        <v>347</v>
      </c>
      <c r="AE128" s="6" t="s">
        <v>457</v>
      </c>
    </row>
    <row r="129" spans="1:31">
      <c r="A129" s="4"/>
      <c r="B129" s="4"/>
      <c r="C129" s="4"/>
      <c r="D129" s="6" t="s">
        <v>27</v>
      </c>
      <c r="E129" s="6" t="s">
        <v>28</v>
      </c>
      <c r="F129" s="6" t="s">
        <v>29</v>
      </c>
      <c r="G129" s="6" t="s">
        <v>30</v>
      </c>
      <c r="H129" s="6" t="s">
        <v>31</v>
      </c>
      <c r="I129" s="6" t="s">
        <v>32</v>
      </c>
      <c r="J129" s="6" t="s">
        <v>33</v>
      </c>
      <c r="K129" s="6" t="s">
        <v>34</v>
      </c>
      <c r="L129" s="6" t="s">
        <v>35</v>
      </c>
      <c r="M129" s="8">
        <v>2776035.44</v>
      </c>
      <c r="N129" s="6" t="s">
        <v>36</v>
      </c>
      <c r="O129" s="8">
        <v>2776035.44</v>
      </c>
      <c r="P129" s="6" t="s">
        <v>36</v>
      </c>
      <c r="Q129" s="8">
        <v>2782295.31</v>
      </c>
      <c r="R129" s="6" t="s">
        <v>37</v>
      </c>
      <c r="S129" s="8">
        <v>2782295.31</v>
      </c>
      <c r="T129" s="6" t="s">
        <v>37</v>
      </c>
      <c r="U129" s="6" t="s">
        <v>352</v>
      </c>
      <c r="V129" s="6" t="s">
        <v>353</v>
      </c>
      <c r="W129" s="6" t="s">
        <v>48</v>
      </c>
      <c r="X129" s="6" t="s">
        <v>49</v>
      </c>
      <c r="Y129" s="6" t="s">
        <v>347</v>
      </c>
      <c r="Z129" s="8">
        <v>2067.0100000000002</v>
      </c>
      <c r="AA129" s="9"/>
      <c r="AB129" s="8">
        <v>1649184.72</v>
      </c>
      <c r="AC129" s="6" t="s">
        <v>42</v>
      </c>
      <c r="AD129" s="6" t="s">
        <v>347</v>
      </c>
      <c r="AE129" s="6" t="s">
        <v>457</v>
      </c>
    </row>
    <row r="130" spans="1:31">
      <c r="A130" s="4"/>
      <c r="B130" s="4"/>
      <c r="C130" s="4"/>
      <c r="D130" s="6" t="s">
        <v>27</v>
      </c>
      <c r="E130" s="6" t="s">
        <v>28</v>
      </c>
      <c r="F130" s="6" t="s">
        <v>29</v>
      </c>
      <c r="G130" s="6" t="s">
        <v>30</v>
      </c>
      <c r="H130" s="6" t="s">
        <v>31</v>
      </c>
      <c r="I130" s="6" t="s">
        <v>32</v>
      </c>
      <c r="J130" s="6" t="s">
        <v>33</v>
      </c>
      <c r="K130" s="6" t="s">
        <v>34</v>
      </c>
      <c r="L130" s="6" t="s">
        <v>35</v>
      </c>
      <c r="M130" s="8">
        <v>2776035.44</v>
      </c>
      <c r="N130" s="6" t="s">
        <v>36</v>
      </c>
      <c r="O130" s="8">
        <v>2776035.44</v>
      </c>
      <c r="P130" s="6" t="s">
        <v>36</v>
      </c>
      <c r="Q130" s="8">
        <v>2782295.31</v>
      </c>
      <c r="R130" s="6" t="s">
        <v>37</v>
      </c>
      <c r="S130" s="8">
        <v>2782295.31</v>
      </c>
      <c r="T130" s="6" t="s">
        <v>37</v>
      </c>
      <c r="U130" s="6" t="s">
        <v>354</v>
      </c>
      <c r="V130" s="6" t="s">
        <v>355</v>
      </c>
      <c r="W130" s="6" t="s">
        <v>67</v>
      </c>
      <c r="X130" s="6" t="s">
        <v>68</v>
      </c>
      <c r="Y130" s="6" t="s">
        <v>347</v>
      </c>
      <c r="Z130" s="8">
        <v>1349.69</v>
      </c>
      <c r="AA130" s="9"/>
      <c r="AB130" s="8">
        <v>1647117.71</v>
      </c>
      <c r="AC130" s="6" t="s">
        <v>42</v>
      </c>
      <c r="AD130" s="6" t="s">
        <v>347</v>
      </c>
      <c r="AE130" s="6" t="s">
        <v>457</v>
      </c>
    </row>
    <row r="131" spans="1:31">
      <c r="A131" s="4"/>
      <c r="B131" s="4"/>
      <c r="C131" s="4"/>
      <c r="D131" s="6" t="s">
        <v>27</v>
      </c>
      <c r="E131" s="6" t="s">
        <v>28</v>
      </c>
      <c r="F131" s="6" t="s">
        <v>29</v>
      </c>
      <c r="G131" s="6" t="s">
        <v>30</v>
      </c>
      <c r="H131" s="6" t="s">
        <v>31</v>
      </c>
      <c r="I131" s="6" t="s">
        <v>32</v>
      </c>
      <c r="J131" s="6" t="s">
        <v>33</v>
      </c>
      <c r="K131" s="6" t="s">
        <v>34</v>
      </c>
      <c r="L131" s="6" t="s">
        <v>35</v>
      </c>
      <c r="M131" s="8">
        <v>2776035.44</v>
      </c>
      <c r="N131" s="6" t="s">
        <v>36</v>
      </c>
      <c r="O131" s="8">
        <v>2776035.44</v>
      </c>
      <c r="P131" s="6" t="s">
        <v>36</v>
      </c>
      <c r="Q131" s="8">
        <v>2782295.31</v>
      </c>
      <c r="R131" s="6" t="s">
        <v>37</v>
      </c>
      <c r="S131" s="8">
        <v>2782295.31</v>
      </c>
      <c r="T131" s="6" t="s">
        <v>37</v>
      </c>
      <c r="U131" s="6" t="s">
        <v>356</v>
      </c>
      <c r="V131" s="6" t="s">
        <v>357</v>
      </c>
      <c r="W131" s="6" t="s">
        <v>358</v>
      </c>
      <c r="X131" s="6" t="s">
        <v>68</v>
      </c>
      <c r="Y131" s="6" t="s">
        <v>347</v>
      </c>
      <c r="Z131" s="8">
        <v>866.3</v>
      </c>
      <c r="AA131" s="9"/>
      <c r="AB131" s="8">
        <v>1645768.02</v>
      </c>
      <c r="AC131" s="6" t="s">
        <v>42</v>
      </c>
      <c r="AD131" s="6" t="s">
        <v>347</v>
      </c>
      <c r="AE131" s="6" t="s">
        <v>457</v>
      </c>
    </row>
    <row r="132" spans="1:31">
      <c r="A132" s="4"/>
      <c r="B132" s="4"/>
      <c r="C132" s="4"/>
      <c r="D132" s="6" t="s">
        <v>27</v>
      </c>
      <c r="E132" s="6" t="s">
        <v>28</v>
      </c>
      <c r="F132" s="6" t="s">
        <v>29</v>
      </c>
      <c r="G132" s="6" t="s">
        <v>30</v>
      </c>
      <c r="H132" s="6" t="s">
        <v>31</v>
      </c>
      <c r="I132" s="6" t="s">
        <v>32</v>
      </c>
      <c r="J132" s="6" t="s">
        <v>33</v>
      </c>
      <c r="K132" s="6" t="s">
        <v>34</v>
      </c>
      <c r="L132" s="6" t="s">
        <v>35</v>
      </c>
      <c r="M132" s="8">
        <v>2776035.44</v>
      </c>
      <c r="N132" s="6" t="s">
        <v>36</v>
      </c>
      <c r="O132" s="8">
        <v>2776035.44</v>
      </c>
      <c r="P132" s="6" t="s">
        <v>36</v>
      </c>
      <c r="Q132" s="8">
        <v>2782295.31</v>
      </c>
      <c r="R132" s="6" t="s">
        <v>37</v>
      </c>
      <c r="S132" s="8">
        <v>2782295.31</v>
      </c>
      <c r="T132" s="6" t="s">
        <v>37</v>
      </c>
      <c r="U132" s="6" t="s">
        <v>359</v>
      </c>
      <c r="V132" s="6" t="s">
        <v>360</v>
      </c>
      <c r="W132" s="6" t="s">
        <v>361</v>
      </c>
      <c r="X132" s="6" t="s">
        <v>49</v>
      </c>
      <c r="Y132" s="6" t="s">
        <v>347</v>
      </c>
      <c r="Z132" s="9"/>
      <c r="AA132" s="8">
        <v>-12144.15</v>
      </c>
      <c r="AB132" s="8">
        <v>1644901.72</v>
      </c>
      <c r="AC132" s="6" t="s">
        <v>42</v>
      </c>
      <c r="AD132" s="6" t="s">
        <v>347</v>
      </c>
      <c r="AE132" s="6" t="s">
        <v>457</v>
      </c>
    </row>
    <row r="133" spans="1:31">
      <c r="A133" s="4"/>
      <c r="B133" s="4"/>
      <c r="C133" s="4"/>
      <c r="D133" s="6" t="s">
        <v>27</v>
      </c>
      <c r="E133" s="6" t="s">
        <v>28</v>
      </c>
      <c r="F133" s="6" t="s">
        <v>29</v>
      </c>
      <c r="G133" s="6" t="s">
        <v>30</v>
      </c>
      <c r="H133" s="6" t="s">
        <v>31</v>
      </c>
      <c r="I133" s="6" t="s">
        <v>32</v>
      </c>
      <c r="J133" s="6" t="s">
        <v>33</v>
      </c>
      <c r="K133" s="6" t="s">
        <v>34</v>
      </c>
      <c r="L133" s="6" t="s">
        <v>35</v>
      </c>
      <c r="M133" s="8">
        <v>2776035.44</v>
      </c>
      <c r="N133" s="6" t="s">
        <v>36</v>
      </c>
      <c r="O133" s="8">
        <v>2776035.44</v>
      </c>
      <c r="P133" s="6" t="s">
        <v>36</v>
      </c>
      <c r="Q133" s="8">
        <v>2782295.31</v>
      </c>
      <c r="R133" s="6" t="s">
        <v>37</v>
      </c>
      <c r="S133" s="8">
        <v>2782295.31</v>
      </c>
      <c r="T133" s="6" t="s">
        <v>37</v>
      </c>
      <c r="U133" s="6" t="s">
        <v>362</v>
      </c>
      <c r="V133" s="6" t="s">
        <v>363</v>
      </c>
      <c r="W133" s="6" t="s">
        <v>364</v>
      </c>
      <c r="X133" s="6" t="s">
        <v>49</v>
      </c>
      <c r="Y133" s="6" t="s">
        <v>347</v>
      </c>
      <c r="Z133" s="9"/>
      <c r="AA133" s="8">
        <v>-175</v>
      </c>
      <c r="AB133" s="8">
        <v>1657045.87</v>
      </c>
      <c r="AC133" s="6" t="s">
        <v>42</v>
      </c>
      <c r="AD133" s="6" t="s">
        <v>347</v>
      </c>
      <c r="AE133" s="6" t="s">
        <v>457</v>
      </c>
    </row>
    <row r="134" spans="1:31">
      <c r="A134" s="4"/>
      <c r="B134" s="4"/>
      <c r="C134" s="4"/>
      <c r="D134" s="6" t="s">
        <v>27</v>
      </c>
      <c r="E134" s="6" t="s">
        <v>28</v>
      </c>
      <c r="F134" s="6" t="s">
        <v>29</v>
      </c>
      <c r="G134" s="6" t="s">
        <v>30</v>
      </c>
      <c r="H134" s="6" t="s">
        <v>31</v>
      </c>
      <c r="I134" s="6" t="s">
        <v>32</v>
      </c>
      <c r="J134" s="6" t="s">
        <v>33</v>
      </c>
      <c r="K134" s="6" t="s">
        <v>34</v>
      </c>
      <c r="L134" s="6" t="s">
        <v>35</v>
      </c>
      <c r="M134" s="8">
        <v>2776035.44</v>
      </c>
      <c r="N134" s="6" t="s">
        <v>36</v>
      </c>
      <c r="O134" s="8">
        <v>2776035.44</v>
      </c>
      <c r="P134" s="6" t="s">
        <v>36</v>
      </c>
      <c r="Q134" s="8">
        <v>2782295.31</v>
      </c>
      <c r="R134" s="6" t="s">
        <v>37</v>
      </c>
      <c r="S134" s="8">
        <v>2782295.31</v>
      </c>
      <c r="T134" s="6" t="s">
        <v>37</v>
      </c>
      <c r="U134" s="6" t="s">
        <v>365</v>
      </c>
      <c r="V134" s="6" t="s">
        <v>366</v>
      </c>
      <c r="W134" s="6" t="s">
        <v>48</v>
      </c>
      <c r="X134" s="6" t="s">
        <v>49</v>
      </c>
      <c r="Y134" s="6" t="s">
        <v>367</v>
      </c>
      <c r="Z134" s="8">
        <v>185</v>
      </c>
      <c r="AA134" s="9"/>
      <c r="AB134" s="8">
        <v>1657220.87</v>
      </c>
      <c r="AC134" s="6" t="s">
        <v>42</v>
      </c>
      <c r="AD134" s="6" t="s">
        <v>367</v>
      </c>
      <c r="AE134" s="6" t="s">
        <v>457</v>
      </c>
    </row>
    <row r="135" spans="1:31">
      <c r="A135" s="4"/>
      <c r="B135" s="4"/>
      <c r="C135" s="4"/>
      <c r="D135" s="6" t="s">
        <v>27</v>
      </c>
      <c r="E135" s="6" t="s">
        <v>28</v>
      </c>
      <c r="F135" s="6" t="s">
        <v>29</v>
      </c>
      <c r="G135" s="6" t="s">
        <v>30</v>
      </c>
      <c r="H135" s="6" t="s">
        <v>31</v>
      </c>
      <c r="I135" s="6" t="s">
        <v>32</v>
      </c>
      <c r="J135" s="6" t="s">
        <v>33</v>
      </c>
      <c r="K135" s="6" t="s">
        <v>34</v>
      </c>
      <c r="L135" s="6" t="s">
        <v>35</v>
      </c>
      <c r="M135" s="8">
        <v>2776035.44</v>
      </c>
      <c r="N135" s="6" t="s">
        <v>36</v>
      </c>
      <c r="O135" s="8">
        <v>2776035.44</v>
      </c>
      <c r="P135" s="6" t="s">
        <v>36</v>
      </c>
      <c r="Q135" s="8">
        <v>2782295.31</v>
      </c>
      <c r="R135" s="6" t="s">
        <v>37</v>
      </c>
      <c r="S135" s="8">
        <v>2782295.31</v>
      </c>
      <c r="T135" s="6" t="s">
        <v>37</v>
      </c>
      <c r="U135" s="6" t="s">
        <v>368</v>
      </c>
      <c r="V135" s="6" t="s">
        <v>369</v>
      </c>
      <c r="W135" s="6" t="s">
        <v>48</v>
      </c>
      <c r="X135" s="6" t="s">
        <v>49</v>
      </c>
      <c r="Y135" s="6" t="s">
        <v>367</v>
      </c>
      <c r="Z135" s="8">
        <v>18855</v>
      </c>
      <c r="AA135" s="9"/>
      <c r="AB135" s="8">
        <v>1657035.87</v>
      </c>
      <c r="AC135" s="6" t="s">
        <v>42</v>
      </c>
      <c r="AD135" s="6" t="s">
        <v>367</v>
      </c>
      <c r="AE135" s="6" t="s">
        <v>457</v>
      </c>
    </row>
    <row r="136" spans="1:31">
      <c r="A136" s="4"/>
      <c r="B136" s="4"/>
      <c r="C136" s="4"/>
      <c r="D136" s="6" t="s">
        <v>27</v>
      </c>
      <c r="E136" s="6" t="s">
        <v>28</v>
      </c>
      <c r="F136" s="6" t="s">
        <v>29</v>
      </c>
      <c r="G136" s="6" t="s">
        <v>30</v>
      </c>
      <c r="H136" s="6" t="s">
        <v>31</v>
      </c>
      <c r="I136" s="6" t="s">
        <v>32</v>
      </c>
      <c r="J136" s="6" t="s">
        <v>33</v>
      </c>
      <c r="K136" s="6" t="s">
        <v>34</v>
      </c>
      <c r="L136" s="6" t="s">
        <v>35</v>
      </c>
      <c r="M136" s="8">
        <v>2776035.44</v>
      </c>
      <c r="N136" s="6" t="s">
        <v>36</v>
      </c>
      <c r="O136" s="8">
        <v>2776035.44</v>
      </c>
      <c r="P136" s="6" t="s">
        <v>36</v>
      </c>
      <c r="Q136" s="8">
        <v>2782295.31</v>
      </c>
      <c r="R136" s="6" t="s">
        <v>37</v>
      </c>
      <c r="S136" s="8">
        <v>2782295.31</v>
      </c>
      <c r="T136" s="6" t="s">
        <v>37</v>
      </c>
      <c r="U136" s="6" t="s">
        <v>370</v>
      </c>
      <c r="V136" s="6" t="s">
        <v>371</v>
      </c>
      <c r="W136" s="6" t="s">
        <v>372</v>
      </c>
      <c r="X136" s="6" t="s">
        <v>49</v>
      </c>
      <c r="Y136" s="6" t="s">
        <v>367</v>
      </c>
      <c r="Z136" s="8">
        <v>4510</v>
      </c>
      <c r="AA136" s="9"/>
      <c r="AB136" s="8">
        <v>1638180.87</v>
      </c>
      <c r="AC136" s="6" t="s">
        <v>42</v>
      </c>
      <c r="AD136" s="6" t="s">
        <v>367</v>
      </c>
      <c r="AE136" s="6" t="s">
        <v>457</v>
      </c>
    </row>
    <row r="137" spans="1:31">
      <c r="A137" s="4"/>
      <c r="B137" s="4"/>
      <c r="C137" s="4"/>
      <c r="D137" s="6" t="s">
        <v>27</v>
      </c>
      <c r="E137" s="6" t="s">
        <v>28</v>
      </c>
      <c r="F137" s="6" t="s">
        <v>29</v>
      </c>
      <c r="G137" s="6" t="s">
        <v>30</v>
      </c>
      <c r="H137" s="6" t="s">
        <v>31</v>
      </c>
      <c r="I137" s="6" t="s">
        <v>32</v>
      </c>
      <c r="J137" s="6" t="s">
        <v>33</v>
      </c>
      <c r="K137" s="6" t="s">
        <v>34</v>
      </c>
      <c r="L137" s="6" t="s">
        <v>35</v>
      </c>
      <c r="M137" s="8">
        <v>2776035.44</v>
      </c>
      <c r="N137" s="6" t="s">
        <v>36</v>
      </c>
      <c r="O137" s="8">
        <v>2776035.44</v>
      </c>
      <c r="P137" s="6" t="s">
        <v>36</v>
      </c>
      <c r="Q137" s="8">
        <v>2782295.31</v>
      </c>
      <c r="R137" s="6" t="s">
        <v>37</v>
      </c>
      <c r="S137" s="8">
        <v>2782295.31</v>
      </c>
      <c r="T137" s="6" t="s">
        <v>37</v>
      </c>
      <c r="U137" s="6" t="s">
        <v>373</v>
      </c>
      <c r="V137" s="6" t="s">
        <v>374</v>
      </c>
      <c r="W137" s="6" t="s">
        <v>375</v>
      </c>
      <c r="X137" s="6" t="s">
        <v>41</v>
      </c>
      <c r="Y137" s="6" t="s">
        <v>376</v>
      </c>
      <c r="Z137" s="8">
        <v>11684.77</v>
      </c>
      <c r="AA137" s="9"/>
      <c r="AB137" s="8">
        <v>1633670.87</v>
      </c>
      <c r="AC137" s="6" t="s">
        <v>42</v>
      </c>
      <c r="AD137" s="6" t="s">
        <v>376</v>
      </c>
      <c r="AE137" s="6" t="s">
        <v>457</v>
      </c>
    </row>
    <row r="138" spans="1:31">
      <c r="A138" s="4"/>
      <c r="B138" s="4"/>
      <c r="C138" s="4"/>
      <c r="D138" s="6" t="s">
        <v>27</v>
      </c>
      <c r="E138" s="6" t="s">
        <v>28</v>
      </c>
      <c r="F138" s="6" t="s">
        <v>29</v>
      </c>
      <c r="G138" s="6" t="s">
        <v>30</v>
      </c>
      <c r="H138" s="6" t="s">
        <v>31</v>
      </c>
      <c r="I138" s="6" t="s">
        <v>32</v>
      </c>
      <c r="J138" s="6" t="s">
        <v>33</v>
      </c>
      <c r="K138" s="6" t="s">
        <v>34</v>
      </c>
      <c r="L138" s="6" t="s">
        <v>35</v>
      </c>
      <c r="M138" s="8">
        <v>2776035.44</v>
      </c>
      <c r="N138" s="6" t="s">
        <v>36</v>
      </c>
      <c r="O138" s="8">
        <v>2776035.44</v>
      </c>
      <c r="P138" s="6" t="s">
        <v>36</v>
      </c>
      <c r="Q138" s="8">
        <v>2782295.31</v>
      </c>
      <c r="R138" s="6" t="s">
        <v>37</v>
      </c>
      <c r="S138" s="8">
        <v>2782295.31</v>
      </c>
      <c r="T138" s="6" t="s">
        <v>37</v>
      </c>
      <c r="U138" s="6" t="s">
        <v>377</v>
      </c>
      <c r="V138" s="6" t="s">
        <v>378</v>
      </c>
      <c r="W138" s="6" t="s">
        <v>379</v>
      </c>
      <c r="X138" s="6" t="s">
        <v>41</v>
      </c>
      <c r="Y138" s="6" t="s">
        <v>376</v>
      </c>
      <c r="Z138" s="8">
        <v>19309</v>
      </c>
      <c r="AA138" s="9"/>
      <c r="AB138" s="8">
        <v>1621986.1</v>
      </c>
      <c r="AC138" s="6" t="s">
        <v>42</v>
      </c>
      <c r="AD138" s="6" t="s">
        <v>376</v>
      </c>
      <c r="AE138" s="6" t="s">
        <v>457</v>
      </c>
    </row>
    <row r="139" spans="1:31">
      <c r="A139" s="4"/>
      <c r="B139" s="4"/>
      <c r="C139" s="4"/>
      <c r="D139" s="6" t="s">
        <v>27</v>
      </c>
      <c r="E139" s="6" t="s">
        <v>28</v>
      </c>
      <c r="F139" s="6" t="s">
        <v>29</v>
      </c>
      <c r="G139" s="6" t="s">
        <v>30</v>
      </c>
      <c r="H139" s="6" t="s">
        <v>31</v>
      </c>
      <c r="I139" s="6" t="s">
        <v>32</v>
      </c>
      <c r="J139" s="6" t="s">
        <v>33</v>
      </c>
      <c r="K139" s="6" t="s">
        <v>34</v>
      </c>
      <c r="L139" s="6" t="s">
        <v>35</v>
      </c>
      <c r="M139" s="8">
        <v>2776035.44</v>
      </c>
      <c r="N139" s="6" t="s">
        <v>36</v>
      </c>
      <c r="O139" s="8">
        <v>2776035.44</v>
      </c>
      <c r="P139" s="6" t="s">
        <v>36</v>
      </c>
      <c r="Q139" s="8">
        <v>2782295.31</v>
      </c>
      <c r="R139" s="6" t="s">
        <v>37</v>
      </c>
      <c r="S139" s="8">
        <v>2782295.31</v>
      </c>
      <c r="T139" s="6" t="s">
        <v>37</v>
      </c>
      <c r="U139" s="6" t="s">
        <v>380</v>
      </c>
      <c r="V139" s="6" t="s">
        <v>381</v>
      </c>
      <c r="W139" s="6" t="s">
        <v>48</v>
      </c>
      <c r="X139" s="6" t="s">
        <v>49</v>
      </c>
      <c r="Y139" s="6" t="s">
        <v>376</v>
      </c>
      <c r="Z139" s="8">
        <v>1673.57</v>
      </c>
      <c r="AA139" s="9"/>
      <c r="AB139" s="8">
        <v>1602677.1</v>
      </c>
      <c r="AC139" s="6" t="s">
        <v>42</v>
      </c>
      <c r="AD139" s="6" t="s">
        <v>376</v>
      </c>
      <c r="AE139" s="6" t="s">
        <v>457</v>
      </c>
    </row>
    <row r="140" spans="1:31">
      <c r="A140" s="4"/>
      <c r="B140" s="4"/>
      <c r="C140" s="4"/>
      <c r="D140" s="6" t="s">
        <v>27</v>
      </c>
      <c r="E140" s="6" t="s">
        <v>28</v>
      </c>
      <c r="F140" s="6" t="s">
        <v>29</v>
      </c>
      <c r="G140" s="6" t="s">
        <v>30</v>
      </c>
      <c r="H140" s="6" t="s">
        <v>31</v>
      </c>
      <c r="I140" s="6" t="s">
        <v>32</v>
      </c>
      <c r="J140" s="6" t="s">
        <v>33</v>
      </c>
      <c r="K140" s="6" t="s">
        <v>34</v>
      </c>
      <c r="L140" s="6" t="s">
        <v>35</v>
      </c>
      <c r="M140" s="8">
        <v>2776035.44</v>
      </c>
      <c r="N140" s="6" t="s">
        <v>36</v>
      </c>
      <c r="O140" s="8">
        <v>2776035.44</v>
      </c>
      <c r="P140" s="6" t="s">
        <v>36</v>
      </c>
      <c r="Q140" s="8">
        <v>2782295.31</v>
      </c>
      <c r="R140" s="6" t="s">
        <v>37</v>
      </c>
      <c r="S140" s="8">
        <v>2782295.31</v>
      </c>
      <c r="T140" s="6" t="s">
        <v>37</v>
      </c>
      <c r="U140" s="6" t="s">
        <v>382</v>
      </c>
      <c r="V140" s="6" t="s">
        <v>383</v>
      </c>
      <c r="W140" s="6" t="s">
        <v>48</v>
      </c>
      <c r="X140" s="6" t="s">
        <v>49</v>
      </c>
      <c r="Y140" s="6" t="s">
        <v>376</v>
      </c>
      <c r="Z140" s="8">
        <v>74</v>
      </c>
      <c r="AA140" s="9"/>
      <c r="AB140" s="8">
        <v>1601003.53</v>
      </c>
      <c r="AC140" s="6" t="s">
        <v>42</v>
      </c>
      <c r="AD140" s="6" t="s">
        <v>376</v>
      </c>
      <c r="AE140" s="6" t="s">
        <v>457</v>
      </c>
    </row>
    <row r="141" spans="1:31">
      <c r="A141" s="4"/>
      <c r="B141" s="4"/>
      <c r="C141" s="4"/>
      <c r="D141" s="6" t="s">
        <v>27</v>
      </c>
      <c r="E141" s="6" t="s">
        <v>28</v>
      </c>
      <c r="F141" s="6" t="s">
        <v>29</v>
      </c>
      <c r="G141" s="6" t="s">
        <v>30</v>
      </c>
      <c r="H141" s="6" t="s">
        <v>31</v>
      </c>
      <c r="I141" s="6" t="s">
        <v>32</v>
      </c>
      <c r="J141" s="6" t="s">
        <v>33</v>
      </c>
      <c r="K141" s="6" t="s">
        <v>34</v>
      </c>
      <c r="L141" s="6" t="s">
        <v>35</v>
      </c>
      <c r="M141" s="8">
        <v>2776035.44</v>
      </c>
      <c r="N141" s="6" t="s">
        <v>36</v>
      </c>
      <c r="O141" s="8">
        <v>2776035.44</v>
      </c>
      <c r="P141" s="6" t="s">
        <v>36</v>
      </c>
      <c r="Q141" s="8">
        <v>2782295.31</v>
      </c>
      <c r="R141" s="6" t="s">
        <v>37</v>
      </c>
      <c r="S141" s="8">
        <v>2782295.31</v>
      </c>
      <c r="T141" s="6" t="s">
        <v>37</v>
      </c>
      <c r="U141" s="6" t="s">
        <v>384</v>
      </c>
      <c r="V141" s="6" t="s">
        <v>385</v>
      </c>
      <c r="W141" s="6" t="s">
        <v>386</v>
      </c>
      <c r="X141" s="6" t="s">
        <v>49</v>
      </c>
      <c r="Y141" s="6" t="s">
        <v>376</v>
      </c>
      <c r="Z141" s="8">
        <v>5328.69</v>
      </c>
      <c r="AA141" s="9"/>
      <c r="AB141" s="8">
        <v>1600929.53</v>
      </c>
      <c r="AC141" s="6" t="s">
        <v>42</v>
      </c>
      <c r="AD141" s="6" t="s">
        <v>376</v>
      </c>
      <c r="AE141" s="6" t="s">
        <v>457</v>
      </c>
    </row>
    <row r="142" spans="1:31">
      <c r="A142" s="4"/>
      <c r="B142" s="4"/>
      <c r="C142" s="4"/>
      <c r="D142" s="6" t="s">
        <v>27</v>
      </c>
      <c r="E142" s="6" t="s">
        <v>28</v>
      </c>
      <c r="F142" s="6" t="s">
        <v>29</v>
      </c>
      <c r="G142" s="6" t="s">
        <v>30</v>
      </c>
      <c r="H142" s="6" t="s">
        <v>31</v>
      </c>
      <c r="I142" s="6" t="s">
        <v>32</v>
      </c>
      <c r="J142" s="6" t="s">
        <v>33</v>
      </c>
      <c r="K142" s="6" t="s">
        <v>34</v>
      </c>
      <c r="L142" s="6" t="s">
        <v>35</v>
      </c>
      <c r="M142" s="8">
        <v>2776035.44</v>
      </c>
      <c r="N142" s="6" t="s">
        <v>36</v>
      </c>
      <c r="O142" s="8">
        <v>2776035.44</v>
      </c>
      <c r="P142" s="6" t="s">
        <v>36</v>
      </c>
      <c r="Q142" s="8">
        <v>2782295.31</v>
      </c>
      <c r="R142" s="6" t="s">
        <v>37</v>
      </c>
      <c r="S142" s="8">
        <v>2782295.31</v>
      </c>
      <c r="T142" s="6" t="s">
        <v>37</v>
      </c>
      <c r="U142" s="6" t="s">
        <v>387</v>
      </c>
      <c r="V142" s="6" t="s">
        <v>388</v>
      </c>
      <c r="W142" s="6" t="s">
        <v>389</v>
      </c>
      <c r="X142" s="6" t="s">
        <v>41</v>
      </c>
      <c r="Y142" s="6" t="s">
        <v>390</v>
      </c>
      <c r="Z142" s="8">
        <v>13595</v>
      </c>
      <c r="AA142" s="9"/>
      <c r="AB142" s="8">
        <v>1595600.84</v>
      </c>
      <c r="AC142" s="6" t="s">
        <v>42</v>
      </c>
      <c r="AD142" s="6" t="s">
        <v>390</v>
      </c>
      <c r="AE142" s="6" t="s">
        <v>457</v>
      </c>
    </row>
    <row r="143" spans="1:31">
      <c r="A143" s="4"/>
      <c r="B143" s="4"/>
      <c r="C143" s="4"/>
      <c r="D143" s="6" t="s">
        <v>27</v>
      </c>
      <c r="E143" s="6" t="s">
        <v>28</v>
      </c>
      <c r="F143" s="6" t="s">
        <v>29</v>
      </c>
      <c r="G143" s="6" t="s">
        <v>30</v>
      </c>
      <c r="H143" s="6" t="s">
        <v>31</v>
      </c>
      <c r="I143" s="6" t="s">
        <v>32</v>
      </c>
      <c r="J143" s="6" t="s">
        <v>33</v>
      </c>
      <c r="K143" s="6" t="s">
        <v>34</v>
      </c>
      <c r="L143" s="6" t="s">
        <v>35</v>
      </c>
      <c r="M143" s="8">
        <v>2776035.44</v>
      </c>
      <c r="N143" s="6" t="s">
        <v>36</v>
      </c>
      <c r="O143" s="8">
        <v>2776035.44</v>
      </c>
      <c r="P143" s="6" t="s">
        <v>36</v>
      </c>
      <c r="Q143" s="8">
        <v>2782295.31</v>
      </c>
      <c r="R143" s="6" t="s">
        <v>37</v>
      </c>
      <c r="S143" s="8">
        <v>2782295.31</v>
      </c>
      <c r="T143" s="6" t="s">
        <v>37</v>
      </c>
      <c r="U143" s="6" t="s">
        <v>391</v>
      </c>
      <c r="V143" s="6" t="s">
        <v>392</v>
      </c>
      <c r="W143" s="6" t="s">
        <v>48</v>
      </c>
      <c r="X143" s="6" t="s">
        <v>49</v>
      </c>
      <c r="Y143" s="6" t="s">
        <v>390</v>
      </c>
      <c r="Z143" s="8">
        <v>10963.43</v>
      </c>
      <c r="AA143" s="9"/>
      <c r="AB143" s="8">
        <v>1582005.84</v>
      </c>
      <c r="AC143" s="6" t="s">
        <v>42</v>
      </c>
      <c r="AD143" s="6" t="s">
        <v>390</v>
      </c>
      <c r="AE143" s="6" t="s">
        <v>457</v>
      </c>
    </row>
    <row r="144" spans="1:31">
      <c r="A144" s="4"/>
      <c r="B144" s="4"/>
      <c r="C144" s="4"/>
      <c r="D144" s="6" t="s">
        <v>27</v>
      </c>
      <c r="E144" s="6" t="s">
        <v>28</v>
      </c>
      <c r="F144" s="6" t="s">
        <v>29</v>
      </c>
      <c r="G144" s="6" t="s">
        <v>30</v>
      </c>
      <c r="H144" s="6" t="s">
        <v>31</v>
      </c>
      <c r="I144" s="6" t="s">
        <v>32</v>
      </c>
      <c r="J144" s="6" t="s">
        <v>33</v>
      </c>
      <c r="K144" s="6" t="s">
        <v>34</v>
      </c>
      <c r="L144" s="6" t="s">
        <v>35</v>
      </c>
      <c r="M144" s="8">
        <v>2776035.44</v>
      </c>
      <c r="N144" s="6" t="s">
        <v>36</v>
      </c>
      <c r="O144" s="8">
        <v>2776035.44</v>
      </c>
      <c r="P144" s="6" t="s">
        <v>36</v>
      </c>
      <c r="Q144" s="8">
        <v>2782295.31</v>
      </c>
      <c r="R144" s="6" t="s">
        <v>37</v>
      </c>
      <c r="S144" s="8">
        <v>2782295.31</v>
      </c>
      <c r="T144" s="6" t="s">
        <v>37</v>
      </c>
      <c r="U144" s="6" t="s">
        <v>393</v>
      </c>
      <c r="V144" s="6" t="s">
        <v>394</v>
      </c>
      <c r="W144" s="6" t="s">
        <v>48</v>
      </c>
      <c r="X144" s="6" t="s">
        <v>49</v>
      </c>
      <c r="Y144" s="6" t="s">
        <v>390</v>
      </c>
      <c r="Z144" s="8">
        <v>3324.34</v>
      </c>
      <c r="AA144" s="9"/>
      <c r="AB144" s="8">
        <v>1571042.41</v>
      </c>
      <c r="AC144" s="6" t="s">
        <v>42</v>
      </c>
      <c r="AD144" s="6" t="s">
        <v>390</v>
      </c>
      <c r="AE144" s="6" t="s">
        <v>457</v>
      </c>
    </row>
    <row r="145" spans="1:31">
      <c r="A145" s="4"/>
      <c r="B145" s="4"/>
      <c r="C145" s="4"/>
      <c r="D145" s="6" t="s">
        <v>27</v>
      </c>
      <c r="E145" s="6" t="s">
        <v>28</v>
      </c>
      <c r="F145" s="6" t="s">
        <v>29</v>
      </c>
      <c r="G145" s="6" t="s">
        <v>30</v>
      </c>
      <c r="H145" s="6" t="s">
        <v>31</v>
      </c>
      <c r="I145" s="6" t="s">
        <v>32</v>
      </c>
      <c r="J145" s="6" t="s">
        <v>33</v>
      </c>
      <c r="K145" s="6" t="s">
        <v>34</v>
      </c>
      <c r="L145" s="6" t="s">
        <v>35</v>
      </c>
      <c r="M145" s="8">
        <v>2776035.44</v>
      </c>
      <c r="N145" s="6" t="s">
        <v>36</v>
      </c>
      <c r="O145" s="8">
        <v>2776035.44</v>
      </c>
      <c r="P145" s="6" t="s">
        <v>36</v>
      </c>
      <c r="Q145" s="8">
        <v>2782295.31</v>
      </c>
      <c r="R145" s="6" t="s">
        <v>37</v>
      </c>
      <c r="S145" s="8">
        <v>2782295.31</v>
      </c>
      <c r="T145" s="6" t="s">
        <v>37</v>
      </c>
      <c r="U145" s="6" t="s">
        <v>395</v>
      </c>
      <c r="V145" s="6" t="s">
        <v>396</v>
      </c>
      <c r="W145" s="6" t="s">
        <v>397</v>
      </c>
      <c r="X145" s="6" t="s">
        <v>49</v>
      </c>
      <c r="Y145" s="6" t="s">
        <v>390</v>
      </c>
      <c r="Z145" s="9"/>
      <c r="AA145" s="8">
        <v>-13.23</v>
      </c>
      <c r="AB145" s="8">
        <v>1567718.07</v>
      </c>
      <c r="AC145" s="6" t="s">
        <v>42</v>
      </c>
      <c r="AD145" s="6" t="s">
        <v>390</v>
      </c>
      <c r="AE145" s="6" t="s">
        <v>457</v>
      </c>
    </row>
    <row r="146" spans="1:31">
      <c r="A146" s="4"/>
      <c r="B146" s="4"/>
      <c r="C146" s="4"/>
      <c r="D146" s="6" t="s">
        <v>27</v>
      </c>
      <c r="E146" s="6" t="s">
        <v>28</v>
      </c>
      <c r="F146" s="6" t="s">
        <v>29</v>
      </c>
      <c r="G146" s="6" t="s">
        <v>30</v>
      </c>
      <c r="H146" s="6" t="s">
        <v>31</v>
      </c>
      <c r="I146" s="6" t="s">
        <v>32</v>
      </c>
      <c r="J146" s="6" t="s">
        <v>33</v>
      </c>
      <c r="K146" s="6" t="s">
        <v>34</v>
      </c>
      <c r="L146" s="6" t="s">
        <v>35</v>
      </c>
      <c r="M146" s="8">
        <v>2776035.44</v>
      </c>
      <c r="N146" s="6" t="s">
        <v>36</v>
      </c>
      <c r="O146" s="8">
        <v>2776035.44</v>
      </c>
      <c r="P146" s="6" t="s">
        <v>36</v>
      </c>
      <c r="Q146" s="8">
        <v>2782295.31</v>
      </c>
      <c r="R146" s="6" t="s">
        <v>37</v>
      </c>
      <c r="S146" s="8">
        <v>2782295.31</v>
      </c>
      <c r="T146" s="6" t="s">
        <v>37</v>
      </c>
      <c r="U146" s="6" t="s">
        <v>398</v>
      </c>
      <c r="V146" s="6" t="s">
        <v>399</v>
      </c>
      <c r="W146" s="6" t="s">
        <v>400</v>
      </c>
      <c r="X146" s="6" t="s">
        <v>41</v>
      </c>
      <c r="Y146" s="6" t="s">
        <v>401</v>
      </c>
      <c r="Z146" s="8">
        <v>1355.08</v>
      </c>
      <c r="AA146" s="9"/>
      <c r="AB146" s="8">
        <v>1567731.3</v>
      </c>
      <c r="AC146" s="6" t="s">
        <v>42</v>
      </c>
      <c r="AD146" s="6" t="s">
        <v>401</v>
      </c>
      <c r="AE146" s="6" t="s">
        <v>457</v>
      </c>
    </row>
    <row r="147" spans="1:31">
      <c r="A147" s="4"/>
      <c r="B147" s="4"/>
      <c r="C147" s="4"/>
      <c r="D147" s="6" t="s">
        <v>27</v>
      </c>
      <c r="E147" s="6" t="s">
        <v>28</v>
      </c>
      <c r="F147" s="6" t="s">
        <v>29</v>
      </c>
      <c r="G147" s="6" t="s">
        <v>30</v>
      </c>
      <c r="H147" s="6" t="s">
        <v>31</v>
      </c>
      <c r="I147" s="6" t="s">
        <v>32</v>
      </c>
      <c r="J147" s="6" t="s">
        <v>33</v>
      </c>
      <c r="K147" s="6" t="s">
        <v>34</v>
      </c>
      <c r="L147" s="6" t="s">
        <v>35</v>
      </c>
      <c r="M147" s="8">
        <v>2776035.44</v>
      </c>
      <c r="N147" s="6" t="s">
        <v>36</v>
      </c>
      <c r="O147" s="8">
        <v>2776035.44</v>
      </c>
      <c r="P147" s="6" t="s">
        <v>36</v>
      </c>
      <c r="Q147" s="8">
        <v>2782295.31</v>
      </c>
      <c r="R147" s="6" t="s">
        <v>37</v>
      </c>
      <c r="S147" s="8">
        <v>2782295.31</v>
      </c>
      <c r="T147" s="6" t="s">
        <v>37</v>
      </c>
      <c r="U147" s="6" t="s">
        <v>402</v>
      </c>
      <c r="V147" s="6" t="s">
        <v>403</v>
      </c>
      <c r="W147" s="6" t="s">
        <v>48</v>
      </c>
      <c r="X147" s="6" t="s">
        <v>49</v>
      </c>
      <c r="Y147" s="6" t="s">
        <v>401</v>
      </c>
      <c r="Z147" s="8">
        <v>19039</v>
      </c>
      <c r="AA147" s="9"/>
      <c r="AB147" s="8">
        <v>1566376.22</v>
      </c>
      <c r="AC147" s="6" t="s">
        <v>42</v>
      </c>
      <c r="AD147" s="6" t="s">
        <v>401</v>
      </c>
      <c r="AE147" s="6" t="s">
        <v>457</v>
      </c>
    </row>
    <row r="148" spans="1:31">
      <c r="A148" s="4"/>
      <c r="B148" s="4"/>
      <c r="C148" s="4"/>
      <c r="D148" s="6" t="s">
        <v>27</v>
      </c>
      <c r="E148" s="6" t="s">
        <v>28</v>
      </c>
      <c r="F148" s="6" t="s">
        <v>29</v>
      </c>
      <c r="G148" s="6" t="s">
        <v>30</v>
      </c>
      <c r="H148" s="6" t="s">
        <v>31</v>
      </c>
      <c r="I148" s="6" t="s">
        <v>32</v>
      </c>
      <c r="J148" s="6" t="s">
        <v>33</v>
      </c>
      <c r="K148" s="6" t="s">
        <v>34</v>
      </c>
      <c r="L148" s="6" t="s">
        <v>35</v>
      </c>
      <c r="M148" s="8">
        <v>2776035.44</v>
      </c>
      <c r="N148" s="6" t="s">
        <v>36</v>
      </c>
      <c r="O148" s="8">
        <v>2776035.44</v>
      </c>
      <c r="P148" s="6" t="s">
        <v>36</v>
      </c>
      <c r="Q148" s="8">
        <v>2782295.31</v>
      </c>
      <c r="R148" s="6" t="s">
        <v>37</v>
      </c>
      <c r="S148" s="8">
        <v>2782295.31</v>
      </c>
      <c r="T148" s="6" t="s">
        <v>37</v>
      </c>
      <c r="U148" s="6" t="s">
        <v>404</v>
      </c>
      <c r="V148" s="6" t="s">
        <v>405</v>
      </c>
      <c r="W148" s="6" t="s">
        <v>406</v>
      </c>
      <c r="X148" s="6" t="s">
        <v>41</v>
      </c>
      <c r="Y148" s="6" t="s">
        <v>407</v>
      </c>
      <c r="Z148" s="8">
        <v>5417.23</v>
      </c>
      <c r="AA148" s="9"/>
      <c r="AB148" s="8">
        <v>1547337.22</v>
      </c>
      <c r="AC148" s="6" t="s">
        <v>42</v>
      </c>
      <c r="AD148" s="6" t="s">
        <v>407</v>
      </c>
      <c r="AE148" s="6" t="s">
        <v>457</v>
      </c>
    </row>
    <row r="149" spans="1:31">
      <c r="A149" s="4"/>
      <c r="B149" s="4"/>
      <c r="C149" s="4"/>
      <c r="D149" s="6" t="s">
        <v>27</v>
      </c>
      <c r="E149" s="6" t="s">
        <v>28</v>
      </c>
      <c r="F149" s="6" t="s">
        <v>29</v>
      </c>
      <c r="G149" s="6" t="s">
        <v>30</v>
      </c>
      <c r="H149" s="6" t="s">
        <v>31</v>
      </c>
      <c r="I149" s="6" t="s">
        <v>32</v>
      </c>
      <c r="J149" s="6" t="s">
        <v>33</v>
      </c>
      <c r="K149" s="6" t="s">
        <v>34</v>
      </c>
      <c r="L149" s="6" t="s">
        <v>35</v>
      </c>
      <c r="M149" s="8">
        <v>2776035.44</v>
      </c>
      <c r="N149" s="6" t="s">
        <v>36</v>
      </c>
      <c r="O149" s="8">
        <v>2776035.44</v>
      </c>
      <c r="P149" s="6" t="s">
        <v>36</v>
      </c>
      <c r="Q149" s="8">
        <v>2782295.31</v>
      </c>
      <c r="R149" s="6" t="s">
        <v>37</v>
      </c>
      <c r="S149" s="8">
        <v>2782295.31</v>
      </c>
      <c r="T149" s="6" t="s">
        <v>37</v>
      </c>
      <c r="U149" s="6" t="s">
        <v>408</v>
      </c>
      <c r="V149" s="6" t="s">
        <v>409</v>
      </c>
      <c r="W149" s="6" t="s">
        <v>410</v>
      </c>
      <c r="X149" s="6" t="s">
        <v>68</v>
      </c>
      <c r="Y149" s="6" t="s">
        <v>407</v>
      </c>
      <c r="Z149" s="8">
        <v>370.63</v>
      </c>
      <c r="AA149" s="9"/>
      <c r="AB149" s="8">
        <v>1541919.99</v>
      </c>
      <c r="AC149" s="6" t="s">
        <v>42</v>
      </c>
      <c r="AD149" s="6" t="s">
        <v>407</v>
      </c>
      <c r="AE149" s="6" t="s">
        <v>457</v>
      </c>
    </row>
    <row r="150" spans="1:31">
      <c r="A150" s="4"/>
      <c r="B150" s="4"/>
      <c r="C150" s="4"/>
      <c r="D150" s="6" t="s">
        <v>27</v>
      </c>
      <c r="E150" s="6" t="s">
        <v>28</v>
      </c>
      <c r="F150" s="6" t="s">
        <v>29</v>
      </c>
      <c r="G150" s="6" t="s">
        <v>30</v>
      </c>
      <c r="H150" s="6" t="s">
        <v>31</v>
      </c>
      <c r="I150" s="6" t="s">
        <v>32</v>
      </c>
      <c r="J150" s="6" t="s">
        <v>33</v>
      </c>
      <c r="K150" s="6" t="s">
        <v>34</v>
      </c>
      <c r="L150" s="6" t="s">
        <v>35</v>
      </c>
      <c r="M150" s="8">
        <v>2776035.44</v>
      </c>
      <c r="N150" s="6" t="s">
        <v>36</v>
      </c>
      <c r="O150" s="8">
        <v>2776035.44</v>
      </c>
      <c r="P150" s="6" t="s">
        <v>36</v>
      </c>
      <c r="Q150" s="8">
        <v>2782295.31</v>
      </c>
      <c r="R150" s="6" t="s">
        <v>37</v>
      </c>
      <c r="S150" s="8">
        <v>2782295.31</v>
      </c>
      <c r="T150" s="6" t="s">
        <v>37</v>
      </c>
      <c r="U150" s="6" t="s">
        <v>411</v>
      </c>
      <c r="V150" s="6" t="s">
        <v>412</v>
      </c>
      <c r="W150" s="6" t="s">
        <v>413</v>
      </c>
      <c r="X150" s="6" t="s">
        <v>41</v>
      </c>
      <c r="Y150" s="6" t="s">
        <v>414</v>
      </c>
      <c r="Z150" s="8">
        <v>85</v>
      </c>
      <c r="AA150" s="9"/>
      <c r="AB150" s="8">
        <v>1541549.36</v>
      </c>
      <c r="AC150" s="6" t="s">
        <v>42</v>
      </c>
      <c r="AD150" s="6" t="s">
        <v>414</v>
      </c>
      <c r="AE150" s="6" t="s">
        <v>457</v>
      </c>
    </row>
    <row r="151" spans="1:31">
      <c r="A151" s="4"/>
      <c r="B151" s="4"/>
      <c r="C151" s="4"/>
      <c r="D151" s="6" t="s">
        <v>27</v>
      </c>
      <c r="E151" s="6" t="s">
        <v>28</v>
      </c>
      <c r="F151" s="6" t="s">
        <v>29</v>
      </c>
      <c r="G151" s="6" t="s">
        <v>30</v>
      </c>
      <c r="H151" s="6" t="s">
        <v>31</v>
      </c>
      <c r="I151" s="6" t="s">
        <v>32</v>
      </c>
      <c r="J151" s="6" t="s">
        <v>33</v>
      </c>
      <c r="K151" s="6" t="s">
        <v>34</v>
      </c>
      <c r="L151" s="6" t="s">
        <v>35</v>
      </c>
      <c r="M151" s="8">
        <v>2776035.44</v>
      </c>
      <c r="N151" s="6" t="s">
        <v>36</v>
      </c>
      <c r="O151" s="8">
        <v>2776035.44</v>
      </c>
      <c r="P151" s="6" t="s">
        <v>36</v>
      </c>
      <c r="Q151" s="8">
        <v>2782295.31</v>
      </c>
      <c r="R151" s="6" t="s">
        <v>37</v>
      </c>
      <c r="S151" s="8">
        <v>2782295.31</v>
      </c>
      <c r="T151" s="6" t="s">
        <v>37</v>
      </c>
      <c r="U151" s="6" t="s">
        <v>415</v>
      </c>
      <c r="V151" s="6" t="s">
        <v>416</v>
      </c>
      <c r="W151" s="6" t="s">
        <v>417</v>
      </c>
      <c r="X151" s="6" t="s">
        <v>41</v>
      </c>
      <c r="Y151" s="6" t="s">
        <v>414</v>
      </c>
      <c r="Z151" s="8">
        <v>30.73</v>
      </c>
      <c r="AA151" s="9"/>
      <c r="AB151" s="8">
        <v>1541464.36</v>
      </c>
      <c r="AC151" s="6" t="s">
        <v>42</v>
      </c>
      <c r="AD151" s="6" t="s">
        <v>414</v>
      </c>
      <c r="AE151" s="6" t="s">
        <v>457</v>
      </c>
    </row>
    <row r="152" spans="1:31">
      <c r="A152" s="4"/>
      <c r="B152" s="4"/>
      <c r="C152" s="4"/>
      <c r="D152" s="6" t="s">
        <v>27</v>
      </c>
      <c r="E152" s="6" t="s">
        <v>28</v>
      </c>
      <c r="F152" s="6" t="s">
        <v>29</v>
      </c>
      <c r="G152" s="6" t="s">
        <v>30</v>
      </c>
      <c r="H152" s="6" t="s">
        <v>31</v>
      </c>
      <c r="I152" s="6" t="s">
        <v>32</v>
      </c>
      <c r="J152" s="6" t="s">
        <v>33</v>
      </c>
      <c r="K152" s="6" t="s">
        <v>34</v>
      </c>
      <c r="L152" s="6" t="s">
        <v>35</v>
      </c>
      <c r="M152" s="8">
        <v>2776035.44</v>
      </c>
      <c r="N152" s="6" t="s">
        <v>36</v>
      </c>
      <c r="O152" s="8">
        <v>2776035.44</v>
      </c>
      <c r="P152" s="6" t="s">
        <v>36</v>
      </c>
      <c r="Q152" s="8">
        <v>2782295.31</v>
      </c>
      <c r="R152" s="6" t="s">
        <v>37</v>
      </c>
      <c r="S152" s="8">
        <v>2782295.31</v>
      </c>
      <c r="T152" s="6" t="s">
        <v>37</v>
      </c>
      <c r="U152" s="6" t="s">
        <v>418</v>
      </c>
      <c r="V152" s="6" t="s">
        <v>419</v>
      </c>
      <c r="W152" s="6" t="s">
        <v>420</v>
      </c>
      <c r="X152" s="6" t="s">
        <v>41</v>
      </c>
      <c r="Y152" s="6" t="s">
        <v>421</v>
      </c>
      <c r="Z152" s="8">
        <v>4.75</v>
      </c>
      <c r="AA152" s="9"/>
      <c r="AB152" s="8">
        <v>1541433.63</v>
      </c>
      <c r="AC152" s="6" t="s">
        <v>42</v>
      </c>
      <c r="AD152" s="6" t="s">
        <v>421</v>
      </c>
      <c r="AE152" s="6" t="s">
        <v>457</v>
      </c>
    </row>
    <row r="153" spans="1:31">
      <c r="A153" s="4"/>
      <c r="B153" s="4"/>
      <c r="C153" s="4"/>
      <c r="D153" s="6" t="s">
        <v>27</v>
      </c>
      <c r="E153" s="6" t="s">
        <v>28</v>
      </c>
      <c r="F153" s="6" t="s">
        <v>29</v>
      </c>
      <c r="G153" s="6" t="s">
        <v>30</v>
      </c>
      <c r="H153" s="6" t="s">
        <v>31</v>
      </c>
      <c r="I153" s="6" t="s">
        <v>32</v>
      </c>
      <c r="J153" s="6" t="s">
        <v>33</v>
      </c>
      <c r="K153" s="6" t="s">
        <v>34</v>
      </c>
      <c r="L153" s="6" t="s">
        <v>35</v>
      </c>
      <c r="M153" s="8">
        <v>2776035.44</v>
      </c>
      <c r="N153" s="6" t="s">
        <v>36</v>
      </c>
      <c r="O153" s="8">
        <v>2776035.44</v>
      </c>
      <c r="P153" s="6" t="s">
        <v>36</v>
      </c>
      <c r="Q153" s="8">
        <v>2782295.31</v>
      </c>
      <c r="R153" s="6" t="s">
        <v>37</v>
      </c>
      <c r="S153" s="8">
        <v>2782295.31</v>
      </c>
      <c r="T153" s="6" t="s">
        <v>37</v>
      </c>
      <c r="U153" s="6" t="s">
        <v>422</v>
      </c>
      <c r="V153" s="6" t="s">
        <v>423</v>
      </c>
      <c r="W153" s="6" t="s">
        <v>48</v>
      </c>
      <c r="X153" s="6" t="s">
        <v>49</v>
      </c>
      <c r="Y153" s="6" t="s">
        <v>421</v>
      </c>
      <c r="Z153" s="8">
        <v>16524</v>
      </c>
      <c r="AA153" s="9"/>
      <c r="AB153" s="8">
        <v>1541428.88</v>
      </c>
      <c r="AC153" s="6" t="s">
        <v>42</v>
      </c>
      <c r="AD153" s="6" t="s">
        <v>421</v>
      </c>
      <c r="AE153" s="6" t="s">
        <v>457</v>
      </c>
    </row>
    <row r="154" spans="1:31">
      <c r="A154" s="4"/>
      <c r="B154" s="4"/>
      <c r="C154" s="4"/>
      <c r="D154" s="6" t="s">
        <v>27</v>
      </c>
      <c r="E154" s="6" t="s">
        <v>28</v>
      </c>
      <c r="F154" s="6" t="s">
        <v>29</v>
      </c>
      <c r="G154" s="6" t="s">
        <v>30</v>
      </c>
      <c r="H154" s="6" t="s">
        <v>31</v>
      </c>
      <c r="I154" s="6" t="s">
        <v>32</v>
      </c>
      <c r="J154" s="6" t="s">
        <v>33</v>
      </c>
      <c r="K154" s="6" t="s">
        <v>34</v>
      </c>
      <c r="L154" s="6" t="s">
        <v>35</v>
      </c>
      <c r="M154" s="8">
        <v>2776035.44</v>
      </c>
      <c r="N154" s="6" t="s">
        <v>36</v>
      </c>
      <c r="O154" s="8">
        <v>2776035.44</v>
      </c>
      <c r="P154" s="6" t="s">
        <v>36</v>
      </c>
      <c r="Q154" s="8">
        <v>2782295.31</v>
      </c>
      <c r="R154" s="6" t="s">
        <v>37</v>
      </c>
      <c r="S154" s="8">
        <v>2782295.31</v>
      </c>
      <c r="T154" s="6" t="s">
        <v>37</v>
      </c>
      <c r="U154" s="6" t="s">
        <v>424</v>
      </c>
      <c r="V154" s="6" t="s">
        <v>425</v>
      </c>
      <c r="W154" s="6" t="s">
        <v>48</v>
      </c>
      <c r="X154" s="6" t="s">
        <v>49</v>
      </c>
      <c r="Y154" s="6" t="s">
        <v>421</v>
      </c>
      <c r="Z154" s="8">
        <v>34799.040000000001</v>
      </c>
      <c r="AA154" s="9"/>
      <c r="AB154" s="8">
        <v>1524904.88</v>
      </c>
      <c r="AC154" s="6" t="s">
        <v>42</v>
      </c>
      <c r="AD154" s="6" t="s">
        <v>421</v>
      </c>
      <c r="AE154" s="6" t="s">
        <v>457</v>
      </c>
    </row>
    <row r="155" spans="1:31">
      <c r="A155" s="4"/>
      <c r="B155" s="4"/>
      <c r="C155" s="4"/>
      <c r="D155" s="6" t="s">
        <v>27</v>
      </c>
      <c r="E155" s="6" t="s">
        <v>28</v>
      </c>
      <c r="F155" s="6" t="s">
        <v>29</v>
      </c>
      <c r="G155" s="6" t="s">
        <v>30</v>
      </c>
      <c r="H155" s="6" t="s">
        <v>31</v>
      </c>
      <c r="I155" s="6" t="s">
        <v>32</v>
      </c>
      <c r="J155" s="6" t="s">
        <v>33</v>
      </c>
      <c r="K155" s="6" t="s">
        <v>34</v>
      </c>
      <c r="L155" s="6" t="s">
        <v>35</v>
      </c>
      <c r="M155" s="8">
        <v>2776035.44</v>
      </c>
      <c r="N155" s="6" t="s">
        <v>36</v>
      </c>
      <c r="O155" s="8">
        <v>2776035.44</v>
      </c>
      <c r="P155" s="6" t="s">
        <v>36</v>
      </c>
      <c r="Q155" s="8">
        <v>2782295.31</v>
      </c>
      <c r="R155" s="6" t="s">
        <v>37</v>
      </c>
      <c r="S155" s="8">
        <v>2782295.31</v>
      </c>
      <c r="T155" s="6" t="s">
        <v>37</v>
      </c>
      <c r="U155" s="6" t="s">
        <v>426</v>
      </c>
      <c r="V155" s="6" t="s">
        <v>427</v>
      </c>
      <c r="W155" s="6" t="s">
        <v>67</v>
      </c>
      <c r="X155" s="6" t="s">
        <v>68</v>
      </c>
      <c r="Y155" s="6" t="s">
        <v>421</v>
      </c>
      <c r="Z155" s="8">
        <v>470.02</v>
      </c>
      <c r="AA155" s="9"/>
      <c r="AB155" s="8">
        <v>1490105.84</v>
      </c>
      <c r="AC155" s="6" t="s">
        <v>42</v>
      </c>
      <c r="AD155" s="6" t="s">
        <v>421</v>
      </c>
      <c r="AE155" s="6" t="s">
        <v>457</v>
      </c>
    </row>
    <row r="156" spans="1:31">
      <c r="A156" s="4"/>
      <c r="B156" s="4"/>
      <c r="C156" s="4"/>
      <c r="D156" s="6" t="s">
        <v>27</v>
      </c>
      <c r="E156" s="6" t="s">
        <v>28</v>
      </c>
      <c r="F156" s="6" t="s">
        <v>29</v>
      </c>
      <c r="G156" s="6" t="s">
        <v>30</v>
      </c>
      <c r="H156" s="6" t="s">
        <v>31</v>
      </c>
      <c r="I156" s="6" t="s">
        <v>32</v>
      </c>
      <c r="J156" s="6" t="s">
        <v>33</v>
      </c>
      <c r="K156" s="6" t="s">
        <v>34</v>
      </c>
      <c r="L156" s="6" t="s">
        <v>35</v>
      </c>
      <c r="M156" s="8">
        <v>2776035.44</v>
      </c>
      <c r="N156" s="6" t="s">
        <v>36</v>
      </c>
      <c r="O156" s="8">
        <v>2776035.44</v>
      </c>
      <c r="P156" s="6" t="s">
        <v>36</v>
      </c>
      <c r="Q156" s="8">
        <v>2782295.31</v>
      </c>
      <c r="R156" s="6" t="s">
        <v>37</v>
      </c>
      <c r="S156" s="8">
        <v>2782295.31</v>
      </c>
      <c r="T156" s="6" t="s">
        <v>37</v>
      </c>
      <c r="U156" s="6" t="s">
        <v>428</v>
      </c>
      <c r="V156" s="6" t="s">
        <v>429</v>
      </c>
      <c r="W156" s="6" t="s">
        <v>430</v>
      </c>
      <c r="X156" s="6" t="s">
        <v>41</v>
      </c>
      <c r="Y156" s="6" t="s">
        <v>431</v>
      </c>
      <c r="Z156" s="8">
        <v>2296.65</v>
      </c>
      <c r="AA156" s="9"/>
      <c r="AB156" s="8">
        <v>1489635.82</v>
      </c>
      <c r="AC156" s="6" t="s">
        <v>42</v>
      </c>
      <c r="AD156" s="6" t="s">
        <v>431</v>
      </c>
      <c r="AE156" s="6" t="s">
        <v>457</v>
      </c>
    </row>
    <row r="157" spans="1:31">
      <c r="A157" s="4"/>
      <c r="B157" s="4"/>
      <c r="C157" s="4"/>
      <c r="D157" s="6" t="s">
        <v>27</v>
      </c>
      <c r="E157" s="6" t="s">
        <v>28</v>
      </c>
      <c r="F157" s="6" t="s">
        <v>29</v>
      </c>
      <c r="G157" s="6" t="s">
        <v>30</v>
      </c>
      <c r="H157" s="6" t="s">
        <v>31</v>
      </c>
      <c r="I157" s="6" t="s">
        <v>32</v>
      </c>
      <c r="J157" s="6" t="s">
        <v>33</v>
      </c>
      <c r="K157" s="6" t="s">
        <v>34</v>
      </c>
      <c r="L157" s="6" t="s">
        <v>35</v>
      </c>
      <c r="M157" s="8">
        <v>2776035.44</v>
      </c>
      <c r="N157" s="6" t="s">
        <v>36</v>
      </c>
      <c r="O157" s="8">
        <v>2776035.44</v>
      </c>
      <c r="P157" s="6" t="s">
        <v>36</v>
      </c>
      <c r="Q157" s="8">
        <v>2782295.31</v>
      </c>
      <c r="R157" s="6" t="s">
        <v>37</v>
      </c>
      <c r="S157" s="8">
        <v>2782295.31</v>
      </c>
      <c r="T157" s="6" t="s">
        <v>37</v>
      </c>
      <c r="U157" s="6" t="s">
        <v>432</v>
      </c>
      <c r="V157" s="6" t="s">
        <v>433</v>
      </c>
      <c r="W157" s="6" t="s">
        <v>48</v>
      </c>
      <c r="X157" s="6" t="s">
        <v>49</v>
      </c>
      <c r="Y157" s="6" t="s">
        <v>431</v>
      </c>
      <c r="Z157" s="8">
        <v>9870.7199999999993</v>
      </c>
      <c r="AA157" s="9"/>
      <c r="AB157" s="8">
        <v>1487339.17</v>
      </c>
      <c r="AC157" s="6" t="s">
        <v>42</v>
      </c>
      <c r="AD157" s="6" t="s">
        <v>431</v>
      </c>
      <c r="AE157" s="6" t="s">
        <v>457</v>
      </c>
    </row>
    <row r="158" spans="1:31">
      <c r="A158" s="4"/>
      <c r="B158" s="4"/>
      <c r="C158" s="4"/>
      <c r="D158" s="6" t="s">
        <v>27</v>
      </c>
      <c r="E158" s="6" t="s">
        <v>28</v>
      </c>
      <c r="F158" s="6" t="s">
        <v>29</v>
      </c>
      <c r="G158" s="6" t="s">
        <v>30</v>
      </c>
      <c r="H158" s="6" t="s">
        <v>31</v>
      </c>
      <c r="I158" s="6" t="s">
        <v>32</v>
      </c>
      <c r="J158" s="6" t="s">
        <v>33</v>
      </c>
      <c r="K158" s="6" t="s">
        <v>34</v>
      </c>
      <c r="L158" s="6" t="s">
        <v>35</v>
      </c>
      <c r="M158" s="8">
        <v>2776035.44</v>
      </c>
      <c r="N158" s="6" t="s">
        <v>36</v>
      </c>
      <c r="O158" s="8">
        <v>2776035.44</v>
      </c>
      <c r="P158" s="6" t="s">
        <v>36</v>
      </c>
      <c r="Q158" s="8">
        <v>2782295.31</v>
      </c>
      <c r="R158" s="6" t="s">
        <v>37</v>
      </c>
      <c r="S158" s="8">
        <v>2782295.31</v>
      </c>
      <c r="T158" s="6" t="s">
        <v>37</v>
      </c>
      <c r="U158" s="6" t="s">
        <v>434</v>
      </c>
      <c r="V158" s="6" t="s">
        <v>435</v>
      </c>
      <c r="W158" s="6" t="s">
        <v>436</v>
      </c>
      <c r="X158" s="6" t="s">
        <v>41</v>
      </c>
      <c r="Y158" s="6" t="s">
        <v>437</v>
      </c>
      <c r="Z158" s="8">
        <v>280105.42</v>
      </c>
      <c r="AA158" s="9"/>
      <c r="AB158" s="8">
        <v>1477468.45</v>
      </c>
      <c r="AC158" s="6" t="s">
        <v>42</v>
      </c>
      <c r="AD158" s="6" t="s">
        <v>437</v>
      </c>
      <c r="AE158" s="6" t="s">
        <v>457</v>
      </c>
    </row>
    <row r="159" spans="1:31">
      <c r="A159" s="4"/>
      <c r="B159" s="4"/>
      <c r="C159" s="4"/>
      <c r="D159" s="6" t="s">
        <v>27</v>
      </c>
      <c r="E159" s="6" t="s">
        <v>28</v>
      </c>
      <c r="F159" s="6" t="s">
        <v>29</v>
      </c>
      <c r="G159" s="6" t="s">
        <v>30</v>
      </c>
      <c r="H159" s="6" t="s">
        <v>31</v>
      </c>
      <c r="I159" s="6" t="s">
        <v>32</v>
      </c>
      <c r="J159" s="6" t="s">
        <v>33</v>
      </c>
      <c r="K159" s="6" t="s">
        <v>34</v>
      </c>
      <c r="L159" s="6" t="s">
        <v>35</v>
      </c>
      <c r="M159" s="8">
        <v>2776035.44</v>
      </c>
      <c r="N159" s="6" t="s">
        <v>36</v>
      </c>
      <c r="O159" s="8">
        <v>2776035.44</v>
      </c>
      <c r="P159" s="6" t="s">
        <v>36</v>
      </c>
      <c r="Q159" s="8">
        <v>2782295.31</v>
      </c>
      <c r="R159" s="6" t="s">
        <v>37</v>
      </c>
      <c r="S159" s="8">
        <v>2782295.31</v>
      </c>
      <c r="T159" s="6" t="s">
        <v>37</v>
      </c>
      <c r="U159" s="6" t="s">
        <v>438</v>
      </c>
      <c r="V159" s="6" t="s">
        <v>439</v>
      </c>
      <c r="W159" s="6" t="s">
        <v>48</v>
      </c>
      <c r="X159" s="6" t="s">
        <v>49</v>
      </c>
      <c r="Y159" s="6" t="s">
        <v>437</v>
      </c>
      <c r="Z159" s="8">
        <v>185</v>
      </c>
      <c r="AA159" s="9"/>
      <c r="AB159" s="8">
        <v>1197363.03</v>
      </c>
      <c r="AC159" s="6" t="s">
        <v>42</v>
      </c>
      <c r="AD159" s="6" t="s">
        <v>437</v>
      </c>
      <c r="AE159" s="6" t="s">
        <v>457</v>
      </c>
    </row>
    <row r="160" spans="1:31">
      <c r="A160" s="4"/>
      <c r="B160" s="4"/>
      <c r="C160" s="4"/>
      <c r="D160" s="6" t="s">
        <v>27</v>
      </c>
      <c r="E160" s="6" t="s">
        <v>28</v>
      </c>
      <c r="F160" s="6" t="s">
        <v>29</v>
      </c>
      <c r="G160" s="6" t="s">
        <v>30</v>
      </c>
      <c r="H160" s="6" t="s">
        <v>31</v>
      </c>
      <c r="I160" s="6" t="s">
        <v>32</v>
      </c>
      <c r="J160" s="6" t="s">
        <v>33</v>
      </c>
      <c r="K160" s="6" t="s">
        <v>34</v>
      </c>
      <c r="L160" s="6" t="s">
        <v>35</v>
      </c>
      <c r="M160" s="8">
        <v>2776035.44</v>
      </c>
      <c r="N160" s="6" t="s">
        <v>36</v>
      </c>
      <c r="O160" s="8">
        <v>2776035.44</v>
      </c>
      <c r="P160" s="6" t="s">
        <v>36</v>
      </c>
      <c r="Q160" s="8">
        <v>2782295.31</v>
      </c>
      <c r="R160" s="6" t="s">
        <v>37</v>
      </c>
      <c r="S160" s="8">
        <v>2782295.31</v>
      </c>
      <c r="T160" s="6" t="s">
        <v>37</v>
      </c>
      <c r="U160" s="6" t="s">
        <v>440</v>
      </c>
      <c r="V160" s="6" t="s">
        <v>441</v>
      </c>
      <c r="W160" s="6" t="s">
        <v>48</v>
      </c>
      <c r="X160" s="6" t="s">
        <v>49</v>
      </c>
      <c r="Y160" s="6" t="s">
        <v>437</v>
      </c>
      <c r="Z160" s="8">
        <v>9970</v>
      </c>
      <c r="AA160" s="9"/>
      <c r="AB160" s="8">
        <v>1197178.03</v>
      </c>
      <c r="AC160" s="6" t="s">
        <v>42</v>
      </c>
      <c r="AD160" s="6" t="s">
        <v>437</v>
      </c>
      <c r="AE160" s="6" t="s">
        <v>457</v>
      </c>
    </row>
    <row r="161" spans="1:34">
      <c r="A161" s="4"/>
      <c r="B161" s="4"/>
      <c r="C161" s="4"/>
      <c r="D161" s="6" t="s">
        <v>27</v>
      </c>
      <c r="E161" s="6" t="s">
        <v>28</v>
      </c>
      <c r="F161" s="6" t="s">
        <v>29</v>
      </c>
      <c r="G161" s="6" t="s">
        <v>30</v>
      </c>
      <c r="H161" s="6" t="s">
        <v>31</v>
      </c>
      <c r="I161" s="6" t="s">
        <v>32</v>
      </c>
      <c r="J161" s="6" t="s">
        <v>33</v>
      </c>
      <c r="K161" s="6" t="s">
        <v>34</v>
      </c>
      <c r="L161" s="6" t="s">
        <v>35</v>
      </c>
      <c r="M161" s="8">
        <v>2776035.44</v>
      </c>
      <c r="N161" s="6" t="s">
        <v>36</v>
      </c>
      <c r="O161" s="8">
        <v>2776035.44</v>
      </c>
      <c r="P161" s="6" t="s">
        <v>36</v>
      </c>
      <c r="Q161" s="8">
        <v>2782295.31</v>
      </c>
      <c r="R161" s="6" t="s">
        <v>37</v>
      </c>
      <c r="S161" s="8">
        <v>2782295.31</v>
      </c>
      <c r="T161" s="6" t="s">
        <v>37</v>
      </c>
      <c r="U161" s="6" t="s">
        <v>442</v>
      </c>
      <c r="V161" s="6" t="s">
        <v>443</v>
      </c>
      <c r="W161" s="6" t="s">
        <v>67</v>
      </c>
      <c r="X161" s="6" t="s">
        <v>68</v>
      </c>
      <c r="Y161" s="6" t="s">
        <v>437</v>
      </c>
      <c r="Z161" s="8">
        <v>396.06</v>
      </c>
      <c r="AA161" s="9"/>
      <c r="AB161" s="8">
        <v>1187208.03</v>
      </c>
      <c r="AC161" s="6" t="s">
        <v>42</v>
      </c>
      <c r="AD161" s="6" t="s">
        <v>437</v>
      </c>
      <c r="AE161" s="6" t="s">
        <v>457</v>
      </c>
      <c r="AH161" s="1"/>
    </row>
    <row r="162" spans="1:34">
      <c r="A162" s="4"/>
      <c r="B162" s="4"/>
      <c r="C162" s="4"/>
      <c r="D162" s="6" t="s">
        <v>27</v>
      </c>
      <c r="E162" s="6" t="s">
        <v>28</v>
      </c>
      <c r="F162" s="6" t="s">
        <v>29</v>
      </c>
      <c r="G162" s="6" t="s">
        <v>30</v>
      </c>
      <c r="H162" s="6" t="s">
        <v>31</v>
      </c>
      <c r="I162" s="6" t="s">
        <v>32</v>
      </c>
      <c r="J162" s="6" t="s">
        <v>33</v>
      </c>
      <c r="K162" s="6" t="s">
        <v>34</v>
      </c>
      <c r="L162" s="6" t="s">
        <v>35</v>
      </c>
      <c r="M162" s="8">
        <v>2776035.44</v>
      </c>
      <c r="N162" s="6" t="s">
        <v>36</v>
      </c>
      <c r="O162" s="8">
        <v>2776035.44</v>
      </c>
      <c r="P162" s="6" t="s">
        <v>36</v>
      </c>
      <c r="Q162" s="8">
        <v>2782295.31</v>
      </c>
      <c r="R162" s="6" t="s">
        <v>37</v>
      </c>
      <c r="S162" s="8">
        <v>2782295.31</v>
      </c>
      <c r="T162" s="6" t="s">
        <v>37</v>
      </c>
      <c r="U162" s="6" t="s">
        <v>444</v>
      </c>
      <c r="V162" s="6" t="s">
        <v>445</v>
      </c>
      <c r="W162" s="6" t="s">
        <v>446</v>
      </c>
      <c r="X162" s="6" t="s">
        <v>41</v>
      </c>
      <c r="Y162" s="6" t="s">
        <v>447</v>
      </c>
      <c r="Z162" s="8">
        <v>13331.29</v>
      </c>
      <c r="AA162" s="9"/>
      <c r="AB162" s="8">
        <v>1186811.97</v>
      </c>
      <c r="AC162" s="6" t="s">
        <v>42</v>
      </c>
      <c r="AD162" s="6" t="s">
        <v>447</v>
      </c>
      <c r="AE162" s="6" t="s">
        <v>457</v>
      </c>
      <c r="AF162" s="1"/>
    </row>
    <row r="163" spans="1:34" s="10" customFormat="1">
      <c r="AE163" s="7"/>
    </row>
    <row r="164" spans="1:34" s="10" customFormat="1">
      <c r="AE164" s="7"/>
    </row>
    <row r="165" spans="1:34" s="10" customFormat="1">
      <c r="AE165" s="7"/>
    </row>
    <row r="166" spans="1:34" s="10" customFormat="1">
      <c r="AE166" s="7"/>
    </row>
    <row r="167" spans="1:34" s="10" customFormat="1">
      <c r="AE167" s="7"/>
    </row>
    <row r="168" spans="1:34" s="10" customFormat="1">
      <c r="AE168" s="7"/>
    </row>
    <row r="169" spans="1:34" s="10" customFormat="1">
      <c r="AE169" s="7"/>
    </row>
    <row r="170" spans="1:34" s="10" customFormat="1">
      <c r="AE17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Gagandeep Chadha</dc:creator>
  <cp:lastModifiedBy>Vikrant Gupta</cp:lastModifiedBy>
  <dcterms:created xsi:type="dcterms:W3CDTF">2025-08-21T15:58:18Z</dcterms:created>
  <dcterms:modified xsi:type="dcterms:W3CDTF">2026-02-19T05:46:48Z</dcterms:modified>
</cp:coreProperties>
</file>