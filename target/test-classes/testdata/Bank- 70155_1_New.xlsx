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nesh.soni\Downloads\Vikrant\Vikrant\All Sites\Aldgate\Aldgate\"/>
    </mc:Choice>
  </mc:AlternateContent>
  <xr:revisionPtr revIDLastSave="0" documentId="8_{4E75F1DE-DBAB-4F15-AE2F-4854E7D37C96}" xr6:coauthVersionLast="47" xr6:coauthVersionMax="47" xr10:uidLastSave="{00000000-0000-0000-0000-000000000000}"/>
  <bookViews>
    <workbookView xWindow="-120" yWindow="-120" windowWidth="20700" windowHeight="10590" xr2:uid="{203548C6-B852-4610-9987-847F80C94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7" i="1" l="1"/>
  <c r="AC96" i="1"/>
</calcChain>
</file>

<file path=xl/sharedStrings.xml><?xml version="1.0" encoding="utf-8"?>
<sst xmlns="http://schemas.openxmlformats.org/spreadsheetml/2006/main" count="1927" uniqueCount="286">
  <si>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</si>
  <si>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</si>
  <si>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</si>
  <si>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</si>
  <si>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</si>
  <si>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</si>
  <si>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</si>
  <si>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</si>
  <si>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</si>
  <si>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</si>
  <si>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</si>
  <si>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</si>
  <si>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</si>
  <si>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</si>
  <si>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</si>
  <si>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</si>
  <si>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</si>
  <si>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</si>
  <si>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</si>
  <si>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</si>
  <si>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</si>
  <si>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Value date</t>
  </si>
  <si>
    <t>Credit amount</t>
  </si>
  <si>
    <t>Debit amount</t>
  </si>
  <si>
    <t>Balance</t>
  </si>
  <si>
    <t>Time</t>
  </si>
  <si>
    <t>Post date</t>
  </si>
  <si>
    <t>Assam Place Limited Partnership</t>
  </si>
  <si>
    <t>HSBC UK Bank PLC</t>
  </si>
  <si>
    <t>GBP</t>
  </si>
  <si>
    <t>United Kingdom</t>
  </si>
  <si>
    <t>HBUKGB4B</t>
  </si>
  <si>
    <t>GB30HBUK40116091170155</t>
  </si>
  <si>
    <t>Active</t>
  </si>
  <si>
    <t>Current account</t>
  </si>
  <si>
    <t>31/07/2025</t>
  </si>
  <si>
    <t>01/08/2025 08:10</t>
  </si>
  <si>
    <t>FBP</t>
  </si>
  <si>
    <t>00:00</t>
  </si>
  <si>
    <t>ADVICE CONFIRMS</t>
  </si>
  <si>
    <t>Tt</t>
  </si>
  <si>
    <t>AIRBNB PAYMENTS UK</t>
  </si>
  <si>
    <t>BACS</t>
  </si>
  <si>
    <t>28/07/2025</t>
  </si>
  <si>
    <t>RBC28075E9J57HJ5</t>
  </si>
  <si>
    <t>/REMI/SAMUELMIN CHAPTER ALDGATE 6.5 A 6.5A SAMUEL MIN GBS28075KFJ 570SG/OCMT/GBP24755,02//BENM/GB30HBUK40116091170155 Assam Place L imited Partnership/EXCH/000000000000//ORDP/MIN BYUNG JE 059600764 GIMPO HANGANG 7 R0 22 GIL 22 HILLE STATE 509-15/OBK/HVBKKRSEXXX WOORI BANK, SEOUL 17, WORLD CUP BUK-RO 60-GIL SEOUL</t>
  </si>
  <si>
    <t>RBC28075IWJ57HVL</t>
  </si>
  <si>
    <t>/REMI/9 6 1A GOMILA GARCIA GBS28075H8IST9HC /LOCINS/CRED /INS/CAIXESBBXXX/OCMT/GBP12833,32//BENM/GB30HBUK401 16091170155 Assam Place Limited Partnership/EXCH/000000000000//OR DP/1/JOSE ANTONIO GOMILA ORTEGA ES0421002288100200051711 2/VIRGEN DE LOS/OBK/CAIXESBBXXX CAIXABANK, S.A. CALLE PINTOR SOROLLA 2-4 VALENCIA</t>
  </si>
  <si>
    <t>RBC28075IWJ57OAQ</t>
  </si>
  <si>
    <t>/REMI/Rent 6.1.1-Geys GBS28075KFJ4XQGW /INS/BAERCHZZ/OCMT/GBP9732 ,86//BENM/GB30HBUK40116091170155 Assam Place Limited Partnership/ EXCH/000000000000//ORDP/1/MR RAPHAEL R GEYS KASTEELDREEF 17 CH130 8515450014412004 2/8020 OOSTK/OBK/BAERGGSP BANK JULIUS BAER AND C O LTD (GUERNS THE PLAZA 1 ELIZABETH AVENUE ST. PET</t>
  </si>
  <si>
    <t>RBC28075HSJ5DWEC</t>
  </si>
  <si>
    <t>/REMI/RENT - ALEXS UK ACCOMMODATION A LEXANDER GABRIEL SUPNET UNIT 18A, CHAPTER ALDGATE GBS28075FVJ5DTFK /INS/HSBCHKH HHKH/OCMT/GBP35685,63//BENM/GB30HBUK40116091170155 Assam Place Li mited Partnership/EXCH/000000000000//ORDP/MF JEBSEN INTERNATIONAL LIMITED 502377211001 29/F,ISLAND PLACE TOWER,/OBK/HSBCHKHHHKH HO NGKONG AND SHANGHAI BANKING CORPO 1 QUEEN'S ROAD CENTRAL CENTRAL AN</t>
  </si>
  <si>
    <t>RBC28075H9J5JCU8</t>
  </si>
  <si>
    <t>/REMI/Van Sleeuwen - B1208 GBS28075KGJ5J7CW /INS/RABONL2UXXX/OCMT /GBP3129,30//BENM/GB30HBUK40116091170155 Assam Place Limited Part nership/EXCH/000000000000//ORDP/1/Martin Johannes Wilhelmus van S le NL68RABO0122576373 1/euwen 2/Lelie/OBK/RABONL2U RABOBANK CROES ELAAN 18 UTRECHT</t>
  </si>
  <si>
    <t>RBQ28075OJJ4ZM2R</t>
  </si>
  <si>
    <t>NARRATIVE 15.07A RABE /ORDP//DE16500105175409 15.07A RABE/BENM//40116091170155ASS</t>
  </si>
  <si>
    <t>Adriana Hettich</t>
  </si>
  <si>
    <t>SCT</t>
  </si>
  <si>
    <t>RBC28075EKJ5TIO4</t>
  </si>
  <si>
    <t>/REMI/PRIYA RAJENDRAPRASHAD SAMJI 1029696001IVPY14 /INS/ABBYGB3EX XX/OCMT/GBP8300,00//BENM/91170155 ASSAM PLACE LTD/EXCH/0000000000 00//ORDP/PT50001800036058782102083 001510296960IVPY14 RAJENDRAPRA SHAD SAMJI PT//OBK/ABBYGB2L SANTANDER UK PLC REGENTS PLACE 2 TRIT ON SQUARE LONDON</t>
  </si>
  <si>
    <t>604728</t>
  </si>
  <si>
    <t>AIRBNB PAYMENTS UK CITIBANK IRE FIN S /SREF/604728</t>
  </si>
  <si>
    <t>604729</t>
  </si>
  <si>
    <t>NO.QJ5YLTVTMSEOS6K BOOKING.COM BV /SREF/604729</t>
  </si>
  <si>
    <t>NO.QJ5YLTVTMSEOS6K</t>
  </si>
  <si>
    <t>9756604350206270019020250726826400300</t>
  </si>
  <si>
    <t>LIM&amp;LOKE FP56P10639749656 /ROC/ERICALIM-2.10A /FPID/9756604350206270019020250726826400300</t>
  </si>
  <si>
    <t>ERICALIM-2.10A</t>
  </si>
  <si>
    <t>26/07/2025</t>
  </si>
  <si>
    <t>7110144010316270019020250726826402527</t>
  </si>
  <si>
    <t>OBEROI R FP56PC0211038712 /ROC/Oberoi- 3.1.5 /FPID/7110144010316270019020250726826402527</t>
  </si>
  <si>
    <t>Oberoi- 3.1.5</t>
  </si>
  <si>
    <t>5000000016005853151020250725826309664</t>
  </si>
  <si>
    <t>G Arcos Flores FP56OF0610477007 /ROC/Arcos Flores 19-A /FPID/5000000016005853151020250725826309664</t>
  </si>
  <si>
    <t>Arcos Flores 19-A</t>
  </si>
  <si>
    <t>25/07/2025</t>
  </si>
  <si>
    <t>TW00000014289108091020250725826230801</t>
  </si>
  <si>
    <t>Zarko Javier Pajar FP56OI4105528985 /EREF/2.4A-Pajarino /ROC/2.4A-Pajarino /FPID/TW00000014289108091020250725826230801</t>
  </si>
  <si>
    <t>2.4A-Pajarino</t>
  </si>
  <si>
    <t>XP88896341051366361020250725826185008</t>
  </si>
  <si>
    <t>Stripe Payments UK FP56O71103546094 /EREF/RFW1P0Q3T-2WPLJ /ROC/RF-W1P0Q3T6V9R0 /FPID/XP88896341051366361020250725826185008</t>
  </si>
  <si>
    <t>RF-W1P0Q3T6V9R0</t>
  </si>
  <si>
    <t>RBS24075ELISPYGW</t>
  </si>
  <si>
    <t>/REMI/PERSONAL STUDYING EXPENSES PERSONAL NCBK82825205ARWN/OCMT/SAR35000,00//BENM/GB30H BUK40116091170155 Assam Place Limited Partnership/EXCH/5.1906238/ /ORDP/MOHAMMED JUBRAN ALQAHTANI 70500000107604 AL AKHDAR BIN AL ST,AL NUZHA/TMS/2025-07-24T13:17:48 GMT/MID/5.07813370</t>
  </si>
  <si>
    <t>RBC25075EKIUVREO</t>
  </si>
  <si>
    <t>/REMI/OZGE TOSUN ROOM NO:13.14 250723129364 /INS/FNNBTRISTRO/OCMT /GBP13583,13//BENM/GB30HBUK40116091170155 Assam Place Limited Par tnership/EXCH/000000000000//ORDP/LEVENT TOSUN TR80001110000000014 9788311 21508582270 D. INALLAR HAYAT S/OBK/FNNBTRISOPS QNB BANK A NONIM SIRKETI ISTANBUL</t>
  </si>
  <si>
    <t>RBC25075G6IUX0CH</t>
  </si>
  <si>
    <t>/REMI/PAGO RESIDENCIA ESTUDIANTIL 250725015184/OCMT/GBP14559,00// BENM/GB30HBUK40116091170155 Assam Place Limited Partnership/EXCH/ 000000000000//ORDP/MATOS VILLAVICENCIO HERNAN HENRY OS 1930090947 35100 CAR CALOS PETIRROJ/OBK/BCPLPEPLXXX BANCO DE CREDITO DEL PER U AV. JUAN DE ARONA 893 FLOOR 3, INTL.BANKING</t>
  </si>
  <si>
    <t>RBC25075HTIV24QQ</t>
  </si>
  <si>
    <t>/REMI//URI/FIRST INSTALMENT ACCOMODATION ARIANNA PIPINO(ROOM 15.0 6)///ROC/111016351334 PET572166204/OCMT/GBP19125,57//BENM/GB30HBU K40116091170155 Assam Place Limited Partnership/EXCH/000000000000 //ORDP/1/EURO MASTER STUDIES SRL IT29Q0200804030000102652184 2/CO RSO CAVOUR,1/OBK/UNCRITMMXXX UNICREDIT S.P.A. TOWER A PIAZZA GAE AULENTI 3 MILANO</t>
  </si>
  <si>
    <t>RBC25075HSIVDW3K</t>
  </si>
  <si>
    <t>/REMI/MARTIN BUSTAM.room A+flat10.15 EPH2507240293300/OCMT/GBP424 6,42//BENM/GB30HBUK40116091170155 Assam Place Limited Partnership /EXCH/000000000000//ORDP/MARTIN DE BUSTAMANTE LUIS ES690200110168 6650014324 CL OSA MAYOR 5 2802/OBK/DEGRESBBXXX ANDBANK ESPANA BAN CA PRIVADA, S.A. PASEO DE LA CASTELLANA 55 MADRID</t>
  </si>
  <si>
    <t>RBC25075HSIVKK5C</t>
  </si>
  <si>
    <t>/REMI/CHAPTER ALDGATE VITO BRAUN 9.1.1 A 250725108407 /INS/GIBA ATWGXXX/OCMT/GBP8656,00//BENM/GB30HBUK40116091170155 Assam Place Limited Partnership/EXCH/000000000000//ORDP/1/Boris Braun CZ63080 00000002024694253 2/Nad Patankou 1812/34 3/CZ/160/OBK/GIBACZPXXXX CESKA SPORITELNA A.S. OLBRACHTOVA 62 PRAGUE</t>
  </si>
  <si>
    <t>RBC25075IWIW0TA8</t>
  </si>
  <si>
    <t>/REMI/ACCOMMODATION EXPENSES AVNI JAIN BUILDING CHAPTER ALDGATE F LAT 4 1 3 ROOM A PET622533206/OCMT/GBP4955,59//BENM/GB30HBUK40116 091170155 Assam Place Limited Partnership/EXCH/000000000000//ORDP /RAJIV JAIN 117710011002281 HOUSE NO 24 SECTOR 15, H NO 24 SEC 15 SONIP/OBK/UBININBBPAN UNION BANK OF INDIA G.T. ROAD PANIPAT PANI PAT</t>
  </si>
  <si>
    <t>348239</t>
  </si>
  <si>
    <t>AIRBNB PAYMENTS UK CITIBANK IRE FIN S /SREF/348239</t>
  </si>
  <si>
    <t>REV5337540667314921020250724826230120</t>
  </si>
  <si>
    <t>Deekshita Rama FP56NG4338564238 /EREF/REV533754066731492 /ROC/D.Rama-11a (Sep) /FPID/REV5337540667314921020250724826230120</t>
  </si>
  <si>
    <t>D.Rama-11a (Sep)</t>
  </si>
  <si>
    <t>24/07/2025</t>
  </si>
  <si>
    <t>5711372040914270019020250724826401262</t>
  </si>
  <si>
    <t>AGARWAL FP56NI0428101789 /ROC/Room transfer fee /FPID/5711372040914270019020250724826401262</t>
  </si>
  <si>
    <t>Room transfer fee</t>
  </si>
  <si>
    <t>RBS24075JEIQ26WW</t>
  </si>
  <si>
    <t>/REMI/REFERENCE HUERTASCAMACHOS616 2025072300119144 /CCT//OCMT/US D5621,70//BENM/GB30HBUK40116091170155 Assam Place Limited Partner ship/EXCH/1.3879164//ORDP/JORGE HUERTAS 000002019807599 3624 LA S ALLE AVE SAINT CLOUD FL 34772/TMS/2025-07-24T03:27:50 GMT/MID/1.3 5797690</t>
  </si>
  <si>
    <t>RBQ24075PHI1GMA0</t>
  </si>
  <si>
    <t>NARRATIVE 15.07A RABE /ORDP//DE165001051754 15.07A RABE/BENM//40116091170155ASS</t>
  </si>
  <si>
    <t>RBS24075H9IP2F40</t>
  </si>
  <si>
    <t>/REMI/10.01 - TRAVNICEK 6CP3528851821602/OCMT/GBP9917,86//BENM/GB 30HBUK40116091170155 Assam Place Limited Partnership/EXCH/0000000 00000//ORDP/1/TRAVNICKOVA DIANA CZ0801000001237789690257 2/NOVA,7 36/79 3/SK/SOBRAN/OBK/KOMBCZPPXXX KOMERCNI BANKA A.S. NA PRIKOPE 33 PRAGUE</t>
  </si>
  <si>
    <t>RBC24075JEIRUBB6</t>
  </si>
  <si>
    <t>/REMI/Cavalli room 1607 EPH2507230256000/OCMT/GBP29481,65//BENM/G B30HBUK40116091170155 Assam Place Limited Partnership/EXCH/000000 000000//ORDP/1/CAVALLI LEOPOLDO IT60R0306234210000001177417 2/VIA SAN MAMOLO 99/3 3/OBK/MEDBITMMXXX BANCA MEDIOLANUM PALAZZO MEUCC I VIA FRANCESCO SFORZA 3 BASIGLIO</t>
  </si>
  <si>
    <t>RBC24075IWIS8JWG</t>
  </si>
  <si>
    <t>/REMI/NEGRI CHAPTER ALDGATE 3.6 A GBS24075G6ILOU68 /INS/BAPPIT22X XX/OCMT/GBP5051,02//BENM/GB30HBUK40116091170155 Assam Place Limit ed Partnership/EXCH/000000000000//ORDP/1/MANCINI IDA ANTONIA NEGR I CORRADO IT98J0503401647000000007939 2/VIA/OBK/BAPPIT22 BANCO BP M SPA PIAZZA MEDA 4 MILANO</t>
  </si>
  <si>
    <t>RBC24075JFIS8SU8</t>
  </si>
  <si>
    <t>/REMI/29 A ORIOL BESOLI EPH2507240040435/OCMT/GBP185,00//BENM/GB3 0HBUK40116091170155 Assam Place Limited Partnership/EXCH/00000000 0000//ORDP/AGNES BESOLI NOVELL AD1300010000101100100100 C/ LES CA NALS N 41 PRINCI/OBK/BACAADADXXX ANDORRA BANC AGRICOL REIG S.A. 6 MANUEL CERQUEDA ESCALER ESCALDES-ENG</t>
  </si>
  <si>
    <t>RBC24075E9ISQ4CH</t>
  </si>
  <si>
    <t>/REMI/STUDIES ABROAD AADI NATHANY ROOM NO 84A 250724148118 /KOT AKREM/KB10000540210033 /INS/KKBKINBBCPC/OCMT/GBP5010,00// BENM/GB30HBUK40116091170155 Assam Place Limited Partnership/EXCH/ 000000000000//ORDP/GAUTAM NATHANY 6611769275 D 244 DEVI MARG BA NI PARK JAIPUR INDIA/OBK/KKBKINBBXXX KOTAK MAHINDRA BANK LIMITED G BLOCK 27, C-27 MUMBAI</t>
  </si>
  <si>
    <t>RBC24075G6IRTPHE</t>
  </si>
  <si>
    <t>/REMI/PAGO DE SERVICIO GBS24075FVIPYTJ4 /ACC/PIB VAZQUEZ021A /INS/BIMEMXMMXXX/OCMT/GBP6389,28//BENM/40116091170155 A ssam Place Limited Partnership/EXCH/000000000000//ORDP/FERNANDO V AZQUEZ GARCIA 4022285225 MX CD DE MEXICO COYOACAN CLL AGAVE/OBK/B IMEMXMMXXX HSBC MEXICO, S.A., INSTITUCION DE B PASEO DE LA REFORM A 347 CUAUHTEMO</t>
  </si>
  <si>
    <t>RBC24075EAISWJGH</t>
  </si>
  <si>
    <t>/REMI/PAYMENT TOWARDS EDUCATION CHAITANYAGUPTA GBS24075JEISIO3K/O CMT/GBP9871,42//BENM/GB30HBUK40116091170155 Assam Place Limited P artnership/EXCH/000000000000//ORDP/SUCHETA SARVADAMAN NAKUL 06192 041005640 S 481 GREATER KAILASH 2 SOUTH/OBK/PUNBINBBMRD PUNJAB NA TIONAL BANK FLOOR 2, ECE HOUSE 28, KASTURBA GANDHI MARG NEW</t>
  </si>
  <si>
    <t>RBC24075KIIT04ZK</t>
  </si>
  <si>
    <t>/REMI/RENT PERIOD 06.09.25 TO 28.08.2026 TENANT NAME - ASHLESHA HIMANSHU BHATE , INSTALLMENT 1 250724163458 /INS/SRCBINBBPUN/OCMT /GBP8894,86//BENM/GB30HBUK40116091170155 Assam Place Limited Part nership/EXCH/000000000000//ORDP/BHATE HIMANSHU RAMESH 51000000045 3535 A605 AMBIENCE ANTILIA NEAR KAPIL/OBK/SRCBINBBXXX SARASWAT CO -OPERATIVE BANK LTD. EKANATH THAKUR BHAVAN 953, APPASAHEB</t>
  </si>
  <si>
    <t>167798</t>
  </si>
  <si>
    <t>AIRBNB PAYMENTS UK CITIBANK IRE FIN S /SREF/167798</t>
  </si>
  <si>
    <t>RBC23075EAIOAPMQ</t>
  </si>
  <si>
    <t>/REMI/Chapter Aldgate (Stuffer Michael 14.14 -A) 250721189160 /IN S/CCRTIT2TXXX/OCMT/GBP19224,00//BENM/GB30HBUK40116091170155 Assam Place Limited Partnership/EXCH/000000000000//ORDP/1/STUFFER PETE R IT40M0818711600000004042400 2/WEGGENSTEINSTRASSE 53 3//OBK/CCRT IT2TRIT RAIFFEISENKASSE RITTEN CASSA RURALE VIA DEL PAESE 7 COLLA LBO RENON</t>
  </si>
  <si>
    <t>23/07/2025</t>
  </si>
  <si>
    <t>RBC23075KIIOFJ9C</t>
  </si>
  <si>
    <t>/REMI//RFB/PAGO DE ARIIENDO DE DEPARTAMENTO ARCOS GEORGIANA19A FT C2895811 01 /INS/CHASUS33XXX/OCMT/GBP4586,49//BENM/GB30HBUK401160 91170155 Assam Place Limited Partnership/EXCH/000000000000//ORDP/ YANEZ CABRERA PEDRO XAVIER 2100092790 1709252512 CALLE GONZALEZ S UAREZ/OBK/BANCO PICHINCHA C.A. Y IGNACIO PEREIRA PICHINCHA QUITO E CUADOR 17015-0 EC</t>
  </si>
  <si>
    <t>PAGO DE ARIIENDO</t>
  </si>
  <si>
    <t>RBC23075KIIOAPC1</t>
  </si>
  <si>
    <t>/REMI/13.08-A MASENZA 250721195803/OCMT/GBP17420,44//BENM/GB30HBU K40116091170155 Assam Place Limited Partnership/EXCH/000000000000 //ORDP/SIMONA SCATTAGLIA CARTAGO IT90Y0326803212052799804030 ROMA LARGO LUIGI/OBK/SELBIT2BXXX BANCA SELLA S.P.A VIA ITALIA 2 BIELL A</t>
  </si>
  <si>
    <t>RBC23075JFIOLRIB</t>
  </si>
  <si>
    <t>/REMI/Traunfellner7.7A 6008204D2C640001/OCMT/GBP3968,29//BENM/GB3 0HBUK40116091170155 Assam Place Limited Partnership/EXCH/00000000 0000//ORDP/Mag. Christian Traunfellner AT063200000006815583 Ried 180 AT/5360 St./OBK/RLNWATWW RAIFFEISENLANDESBANK NIEDEROESTERRE Friedrich-Wilhelm-Raiffeisenplatz 1</t>
  </si>
  <si>
    <t>RBC23075JEIP07GG</t>
  </si>
  <si>
    <t>/REMI/Badescu10 250723035982 /INS/GIBAATWGXXX/OCMT/GBP17417,00//B ENM/GB30HBUK40116091170155 Assam Place Limited Partnership/EXCH/0 00000000000//ORDP/Badescu Anais RO32RNCB0289175830330008 BUCUREST I Barbu Iscovescu 15 AP/OBK/RNCBROBUXXX BANCA COMERCIALA ROMANA S .A THE BRIDGE BUILDING, BUILDING 1 ORHIDEELO</t>
  </si>
  <si>
    <t>RBC23075IVIP3JI8</t>
  </si>
  <si>
    <t>/REMI//URI/16- CORRAL VILLARREAL///ROC/1104474780/1XXXX GBS23075F WIMHC00 /INS/PICTCHGGXXX/OCMT/GBP12564,28//BENM/GB30HBUK401160911 70155 Assam Place Limited Partnership/EXCH/000000000000//ORDP/1/J AVIER CORRAL JIMENEZ CH9108755052629600100 2/C/CAMINO VIEJO DEL C UR/OBK/PICTCHGGXXX BANQUE PICTET ET CIE SA RTE DES ACACIAS 60 GEN EVA</t>
  </si>
  <si>
    <t>206786</t>
  </si>
  <si>
    <t>AIRBNB PAYMENTS UK CITIBANK IRE FIN S /SREF/206786</t>
  </si>
  <si>
    <t>206788</t>
  </si>
  <si>
    <t>AIRBNB PAYMENTS UK CITIBANK IRE FIN S /SREF/206788</t>
  </si>
  <si>
    <t>206787</t>
  </si>
  <si>
    <t>AIRBNB PAYMENTS UK CITIBANK IRE FIN S /SREF/206787</t>
  </si>
  <si>
    <t>RBQ22075QTIL60XZ</t>
  </si>
  <si>
    <t>NARRATIVE NOTPROVIDED/ULTD//NAME/LAVENUTA FED FEDERICA LAVENUTA 1ST INSTALMENT RO</t>
  </si>
  <si>
    <t>LAVENUTA FEDERICA</t>
  </si>
  <si>
    <t>22/07/2025</t>
  </si>
  <si>
    <t>RBQ22075PHIL601U</t>
  </si>
  <si>
    <t>NARRATIVE NOT PROVIDED//14/ORDP//IT53N0306234 INSTALMENT 1 FIAT 16.02 A RICCA</t>
  </si>
  <si>
    <t>MOSCA CHRISTOPHE E</t>
  </si>
  <si>
    <t>RBC22075G7IM8TDU</t>
  </si>
  <si>
    <t>/REMI/ACCOMODATION FEES SUR NAME RANKA ROOM NO 1 2 1 250722159278 /INS/KVBLINBBFPC/OCMT/GBP11733,43//BENM/GB30HBUK40116091170155 A ssam Place Limited Partnership/EXCH/000000000000//ORDP/SHWETA RAN KA 1153155000198924 NO 44 87 ARUNACHALAM STREET CHINTADRIPET/OBK/ KVBLINBBXXX KARUR VYSYA BANK LTD., THE CENTRAL OFFICE ERODE ROAD KARUR</t>
  </si>
  <si>
    <t>191029</t>
  </si>
  <si>
    <t>AIRBNB PAYMENTS UK CITIBANK IRE FIN S /SREF/191029</t>
  </si>
  <si>
    <t>XP89048667178018321020250721826185008</t>
  </si>
  <si>
    <t>Stripe Payments UK FP56K81031155554 /EREF/RFF5O3N5P-7X07R /ROC/RF-F5O3N5P6N6D1 /FPID/XP89048667178018321020250721826185008</t>
  </si>
  <si>
    <t>RF-F5O3N5P6N6D1</t>
  </si>
  <si>
    <t>21/07/2025</t>
  </si>
  <si>
    <t>RBC21075EKIIHR40</t>
  </si>
  <si>
    <t>/REMI//URI/Ayuso de Benito- Room number 13.08B///ROC/PGGP60216457 1215 PET610759202/OCMT/GBP8432,16//BENM/GB30HBUK40116091170155 As sam Place Limited Partnership/EXCH/000000000000//ORDP/1/BEGO A DE BENITO FERNANDEZ ES8001826138110201511347 2/MONASTERIO DE/OBK/BB VAESMMXXX BANCO BILBAO VIZCAYA ARGENTARIA S.A PZ DE SAN NICOLAS 4 BILBAO</t>
  </si>
  <si>
    <t>410557</t>
  </si>
  <si>
    <t>NO.1II935FJOACQGKV BOOKING.COM BV /SREF/410557</t>
  </si>
  <si>
    <t>NO.1II935FJOACQGKV</t>
  </si>
  <si>
    <t>410556</t>
  </si>
  <si>
    <t>AIRBNB PAYMENTS UK CITIBANK IRE FIN S /SREF/410556</t>
  </si>
  <si>
    <t>5000000015976076981020250720826309279</t>
  </si>
  <si>
    <t>A Dua FP56JC1452628384 /ROC/Dua3.5-b /FPID/5000000015976076981020250720826309279</t>
  </si>
  <si>
    <t>Dua3.5-b</t>
  </si>
  <si>
    <t>20/07/2025</t>
  </si>
  <si>
    <t>REV5302169357384611020250720826042909</t>
  </si>
  <si>
    <t>Mehdi Baraka FP56JE2932886193 /EREF/REV530216935738461 /ROC/Sent from Revolut /FPID/REV5302169357384611020250720826042909</t>
  </si>
  <si>
    <t>Sent from Revolut</t>
  </si>
  <si>
    <t>TW00000014208278931020250718826231470</t>
  </si>
  <si>
    <t>Veronica Bonilla G FP56I92641189194 /EREF/2.1.7-Soriano /ROC/2.1.7-Soriano /FPID/TW00000014208278931020250718826231470</t>
  </si>
  <si>
    <t>2.1.7-Soriano</t>
  </si>
  <si>
    <t>19/07/2025</t>
  </si>
  <si>
    <t>15536937534300194 1020250719826070436</t>
  </si>
  <si>
    <t>Poul-Erik Laursen FP56IB4137107541 /ROC/LAURSEN714-B /FPID/15536937534300194 1020250719826070436</t>
  </si>
  <si>
    <t>LAURSEN714-B</t>
  </si>
  <si>
    <t>XP11960388024707321020250718826185008</t>
  </si>
  <si>
    <t>Stripe Payments UK FP56H73918864209 /EREF/RFD8I6G4N-QCDRP /ROC/RF-D8I6G4N0C1V1 /FPID/XP11960388024707321020250718826185008</t>
  </si>
  <si>
    <t>RF-D8I6G4N0C1V1</t>
  </si>
  <si>
    <t>18/07/2025</t>
  </si>
  <si>
    <t>RBC18075KHI8C18H</t>
  </si>
  <si>
    <t>/REMI//URI/Room 14.08-A (Regina Patino)///ROC/5415696010AAMU29 PE T405162199/OCMT/GBP8056,72//BENM/GB30HBUK40116091170155 Assam Pla ce Limited Partnership/EXCH/000000000000//ORDP/PATINO MONDRAGON A NA SOFIA ES2300495415412618104174 CL CARDENAL ZUNIGA/OBK/BSCHESMM XXX BANCO SANTANDER S.A. EDIFICIO PAMPA CAMINO DE CANTABRIA S/N M ADRID</t>
  </si>
  <si>
    <t>RBC18075HSI8D4QQ</t>
  </si>
  <si>
    <t>/REMI/TAN7.5 250718089734 /ACC/JOINT AC INFO ON REQ STUDENTAC//CO MODATION/OCMT/GBP21501,88//BENM/40116091170155 Assam Place Limite d Partnership/EXCH/000000000000//ORDP/TAN MENG DUI/KANG LAI LENG (JIANG L 0729974405 ILING) 10 LEEDON HEIGHT/OBK/SCBLSG22XXX STAND ARD CHARTERED BANK (SINGAPORE) 8 MARINA BOULEVARD 27-01, MARINA</t>
  </si>
  <si>
    <t>RBC18075E9I8SNY8</t>
  </si>
  <si>
    <t>/REMI/ACCOUNT NUMBER 91170155 SORT CODE 401160 MICHAELIANA714 202 5071400177440 FT00280616331261/OCMT/GBP15929,88//BENM/GB30HBUK401 16091170155 Assam Place Limited Partnership/EXCH/000000000000//OR DP/JOHN MICHAELIAN 001010245746257 207 W 106TH ST APT 7A NEW YORK NY 1002/OBK/WFBIUS6SXXX WELLS FARGO BANK, N.A. 420 MONTGOMERY ST REET SAN FRANCISCO</t>
  </si>
  <si>
    <t>RBC18075IWI8Y0CK</t>
  </si>
  <si>
    <t>/REMI/TOMA TOMOV - FIRST RENT INSTALMENT . FT00280618911261 /INS/ UBBSBGSFXXX /INS/KREDBEBBXXX/OCMT/GBP10938,56// BENM/GB30HBUK40116091170155 Assam Place Limited Partnership/EXCH/ 000000000000//ORDP/FERT BUL AD BG80UBBS81551012983176 UL.KAP.NIKO LA ANDREEV 7 B 2 AP.14 S/OBK/UBBSBGSFXXX UNITED BULGARIAN BANK AD VITOSHA BLVD 89B MILLENNIUM CENTER SOFIA</t>
  </si>
  <si>
    <t>229149</t>
  </si>
  <si>
    <t>AIRBNB PAYMENTS UK CITIBANK IRE FIN S /SREF/229149</t>
  </si>
  <si>
    <t>XP33555904240406031020250717826185008</t>
  </si>
  <si>
    <t>Stripe Payments UK FP56G75045156138 /EREF/RFX5F8F5T-YONOX /ROC/RF-X5F8F5T1E7F9 /FPID/XP33555904240406031020250717826185008</t>
  </si>
  <si>
    <t>RF-X5F8F5T1E7F9</t>
  </si>
  <si>
    <t>17/07/2025</t>
  </si>
  <si>
    <t>RBC17075EAI4TCHU</t>
  </si>
  <si>
    <t>/REMI/EDUCATION ARYAA GIRISH SURADKAR 48809457 CHAPTER ALDGATE GB S17075ELI29MYP /INS/ICICINBBNRI/OCMT/GBP2647,14//BENM/91170155 AS SAM PLACE LIMITED PARTNERSHIP/EXCH/000000000000//ORDP/1/GIRISH AS ARAM SURADKAR 002001536037 2/C 117 HILTON TOWER MAHAKALI CA/OBK/I CICINBBNRI ICICI BANK LIMITED FLOOR 2, TRADE WORLD, KAMALA MILLS COMPOUND LOWER</t>
  </si>
  <si>
    <t>2000000015909438251020250715826309634</t>
  </si>
  <si>
    <t>TEE SHU ZHEN/ANG L FP56F62936790898 /EREF/0016OT2209159 /REMI//ROC/MB75259163896251///URI/ANG10.02A /ROC//ROC/MB75259163896 /FPID/2000000015909438251020250715826309634</t>
  </si>
  <si>
    <t>MB75259163896251//</t>
  </si>
  <si>
    <t>16/07/2025</t>
  </si>
  <si>
    <t>TW00000014164913581020250715826231470</t>
  </si>
  <si>
    <t>RAMSES SORIANO ALV FP56F65752116528 /EREF/2.1.7-Soriano /ROC/2.1.7-Soriano /FPID/TW00000014164913581020250715826231470</t>
  </si>
  <si>
    <t>RBC16075ELI1MHOL</t>
  </si>
  <si>
    <t>/REMI/PAYMENT INSTALMENT 1 - CHAPTER ALDGATE - FLAT 17.02 - ROOM A RBSDM2I33756159/OCMT/GBP14652,86//BENM/GB30HBUK40116091170155 A ssam Place Limited Partnership/EXCH/000000000000//ORDP/BELLO GUER RERO MARCELA IT76O0323901600100000179257 CORSO RE UMBERTO 31/OBK/ BCITITM3XXX INTESA SANPAOLO PRIVATE BANKING SPA VIA MELCHIORRE GI OIA 22 MILANO</t>
  </si>
  <si>
    <t>RBC16075KHI2EDTS</t>
  </si>
  <si>
    <t>/REMI/STUDENT ID 33453651 SAYHAN MUSHRIF TRAVEL FOR EDUCATION FEE S HOSTEL PET617127197/OCMT/GBP18437,45//BENM/GB30HBUK401160911701 55 Assam Place Limited Partnership/EXCH/000000000000//ORDP/SAJID HASAN MUSHRIF 50100596412561 309 MUJAVAR GALLI KAGAL KAGAL KAGA/ OBK/HDFCINBBXXX HDFC BANK LIMITED HDFC BANK HOUSE SENAPATI BAPAT MARG MUMBAI</t>
  </si>
  <si>
    <t>RBC16075E9I2I1FK</t>
  </si>
  <si>
    <t>/REMI/OVERSEAS EDUCATION PET628143197 /BNF/ SPECIAL INSTRUCTIONS KHANNA// BUILDING CHAPTER ALDGATE FLAT 4.//1.4 ROOM A ARYAAN KH ANNA PPT Z63//6/OCMT/GBP2668,16//BENM/GB30HBUK40116091170155 Ass am Place Limited Partnership/EXCH/000000000000//ORDP/PANKAJ KHANN A AAAPK4328F D 820 NEW FRIENDS COLONY SOUTH DELH I DELHI D/OBK/NI UM FOREX INDIA PVT LTD CUNNINGHAM CLASSIC, ,22 CUNNINGHAM RD , TA SKER TOWN, BAN</t>
  </si>
  <si>
    <t>RBC16075HTI2RZR4</t>
  </si>
  <si>
    <t>/REMI/OVERSEAS EDUCATION PET624532197 /BNF/ SURNAME KHANNA BUILDI NG CHAPT//ER ALDGATE FLAT 4.1.8 ROOM AARMAA//N KHANNA HULT INTERN ATIONAL BUSIN//E/OCMT/GBP2807,63//BENM/GB30HBUK40116091170155 Ass am Place Limited Partnership/EXCH/000000000000//ORDP/PANKAJ KHANN A AAAPK4328F D 820 NEW FRIENDS COLONY SOUTH DELH I DELHI D/OBK/NI UM FOREX INDIA PVT LTD CUNNINGHAM CLASSIC, ,22 CUNNINGHAM RD , TA SKER TOWN, BAN</t>
  </si>
  <si>
    <t>RP46799649942321001020250715826200026</t>
  </si>
  <si>
    <t>BHULLAR M FP56EC4857674384 /ROC/BHULLAR2A /FPID/RP46799649942321001020250715826200026</t>
  </si>
  <si>
    <t>BHULLAR2A</t>
  </si>
  <si>
    <t>15/07/2025</t>
  </si>
  <si>
    <t>XP59310433529993491020250715826185008</t>
  </si>
  <si>
    <t>Stripe Payments UK FP56E81344775575 /EREF/RFC0P5I7M-ADGFI /ROC/RF-C0P5I7M0W3U5 /FPID/XP59310433529993491020250715826185008</t>
  </si>
  <si>
    <t>RF-C0P5I7M0W3U5</t>
  </si>
  <si>
    <t>RBC15075IWHYWF28</t>
  </si>
  <si>
    <t>/REMI/CESARE RANCILIO APT 3.8 A CHAPTER ALDGATE PET560173196/OCMT /GBP12679,71//BENM/GB30HBUK40116091170155 Assam Place Limited Par tnership/EXCH/000000000000//ORDP/1/RANCILIO ISABELLE LOUISE CH260 8667007403571010 2/VIA SAN GIORGIO 16/OBK/EFGBCHZZXXX EFG BANK AG BLEICHERWEG 8 ZUERICH</t>
  </si>
  <si>
    <t>RBC15075IVHYZB7K</t>
  </si>
  <si>
    <t>/REMI/PAMENT FOR ACCOMODATION SOFYA DRACHKO-YERMOLENKO, ROOM 15.0 8 ACC INV. DD 14/07/2025 B185008347734678/OCMT/GBP30109,00//BENM/ GB30HBUK40116091170155 Assam Place Limited Partnership/EXCH/00000 0000000//ORDP/1/DRACHKO-IERMOLENKO YEVHENII UA5430046500000262060 82372601 2/NOVO-DAR/OBK/COSBUAUKXXX JOINT STOCK COMPANY 'STATE SA VINGS HOSPITALNA STREET, 12-G KYIV</t>
  </si>
  <si>
    <t>RBC14075EAHUT9Z6</t>
  </si>
  <si>
    <t>/REMI///2-B GUIZAR VALENCIA FTC9439478 01/OCMT/GBP7225,07//BENM/G B30HBUK40116091170155 Assam Place Limited Partnership/EXCH/000000 000000//ORDP/1/LOPEZ DIAZ BEATRIZ DEL ROCIO 050039009540 2/PLATER OS 179 Num. COL./OBK/INBUMXMMXXX BANCO INBURSA S.A. PASEO DE LA PALMAS 736 CIUDAD DE MEXICO</t>
  </si>
  <si>
    <t>14/07/2025</t>
  </si>
  <si>
    <t>RBC14075HAHUU24K</t>
  </si>
  <si>
    <t>/REMI/FTC9439476 01/OCMT/GBP7503,08//BENM/GB30HBUK40116091170155 Assam Place Limited Partnership/EXCH/000000000000//ORDP/1/LOPEZ D IAZ BEATRIZ DEL ROCIO 050039009540 2/PLATEROS 179 Num. COL./OBK/ INBUMXMMXXX BANCO INBURSA S.A. PASEO DE LA PALMAS 736 CIUDAD DE M EXICO</t>
  </si>
  <si>
    <t>RBC14075EAHVG474</t>
  </si>
  <si>
    <t>/REMI//URI/De Jorge 10.08-a///ROC/PGGP602163603828 PET572775195/O CMT/GBP9175,00//BENM/GB30HBUK40116091170155 Assam Place Limited P artnership/EXCH/000000000000//ORDP/1/IRENE CANO PIQUERO ES1901824 800540201559099 2/PADILLA 70 CHALET 8A 3/OBK/BBVAESMMXXX BANCO BI LBAO VIZCAYA ARGENTARIA S.A PZ DE SAN NICOLAS 4 BILBAO</t>
  </si>
  <si>
    <t>RBC14075EAHVXTA8</t>
  </si>
  <si>
    <t>/REMI/Yann Hinsche, Gold Studio, 40-11-60 FT00280485326261 /INS/C ECAESMMXXX/OCMT/GBP2067,01//BENM/GB30HBUK40116091170155 Assam Pla ce Limited Partnership/EXCH/000000000000//ORDP/Hinsche, Silke DE4 5160500004533500094 Am Sandwerder 35 14109 Berlin DE/OBK/WELADED1 PMB MITTELBRANDENBURGISCHE SPARKASSE SAARMUNDER STRASSE 61 POTSDA M</t>
  </si>
  <si>
    <t>361772</t>
  </si>
  <si>
    <t>AIRBNB PAYMENTS UK CITIBANK IRE FIN S /SREF/361772</t>
  </si>
  <si>
    <t>361773</t>
  </si>
  <si>
    <t>NO.3URAX6PTVX5A2VU BOOKING.COM BV /SREF/361773</t>
  </si>
  <si>
    <t>NO.3URAX6PTVX5A2VU</t>
  </si>
  <si>
    <t>RBH14075GTHMDQ0W</t>
  </si>
  <si>
    <t>/REMI/REF Evge 01.07 Refund to Evgeniya Pogib lova REF Evge 01.07 /DAS/REF:247677800324/OCMT/GBP12144,15//BENM/ AE340860000006089802145 Natalya Pogiblova/EXCH/000000000000//ORDP /Assam Place Limited Partnership he Gilbert, Greystar Ground Floo r ( We/OBK/HBUKGB4B HSBC UK BANK PLC 1 CENTENARY SQUARE BIRMINGHA M</t>
  </si>
  <si>
    <t>REF Evge 01.07</t>
  </si>
  <si>
    <t>RBH14075GTHMDW00</t>
  </si>
  <si>
    <t>/REMI/REF Medet 01.07 Refund to Medet Orken RE F Medet 01.07 /DAS/REF:123177801M57/OCMT/GBP175,00//BENM/KZ65722C 000057907793 orken medet/EXCH/000000000000//ORDP/Assam Place Limi ted Partnership he Gilbert, Greystar Ground Floor ( We/OBK/HBUKGB 4B HSBC UK BANK PLC 1 CENTENARY SQUARE BIRMINGHAM</t>
  </si>
  <si>
    <t>REF Medet 01.07</t>
  </si>
  <si>
    <t>RBC11075KHHKWFUR</t>
  </si>
  <si>
    <t>/REMI/DOWN PAYMENT SORT 40 11 60 ACCT 91170155 PERSONAL EXPENSES FROM RENE JESUS PRIETO OBREGON PET418731192/OCMT/GBP185,00//BENM/ GB30HBUK40116091170155 Assam Place Limited Partnership/EXCH/00000 0000000//ORDP/VANTAGE BANK TEXAS 1001892 45 NE LOOP 410 SAN ANTON IO, TX 78216/OBK/ZFNBUS55XXX ZIONS BANCORPORATION N.A. 3270 WEST 2200 SOUTH SALT LAKE CITY</t>
  </si>
  <si>
    <t>11/07/2025</t>
  </si>
  <si>
    <t>RBC11075KIHL2BY8</t>
  </si>
  <si>
    <t>/REMI/2.7-TEKMEN PET486142192/OCMT/GBP18855,00//BENM/GB30HBUK4011 6091170155 Assam Place Limited Partnership/EXCH/000000000000//ORD P/1/BULENT TEKMEN TR820013400000249692100018 2/KADIKOY FENERBAHCE MAH HA/OBK/DENITRISXXX DENIZBANK A.S. DENIZ TOWER BUYUKDERE CD 1 41 ISTANBUL</t>
  </si>
  <si>
    <t>RBC11075EAHM5EBK</t>
  </si>
  <si>
    <t>/REMI//RFB/SCHOOL EXPENSE BORA DEMIR TERZI ROOM 85-A GBS11075HSHM 5C1S/OCMT/GBP4510,00//BENM/GB30HBUK40116091170155 Assam Place Lim ited Partnership/EXCH/000000000000//ORDP/1/DAVIT CUKRAN TR2600062 00040400009083059 2/GOZTEPE MAH. MEHMET SEYDA/OBK/TGBATRISXXX TUR KIYE GARANTI BANKASI A.S. AYTAR CAD NO.2 LEVENT NISPETIYE MAH IST A</t>
  </si>
  <si>
    <t>SCHOOL EXPENSE B</t>
  </si>
  <si>
    <t>XP69960829100777571020250710826185008</t>
  </si>
  <si>
    <t>Stripe Payments UK FP56971112221120 /EREF/RFE3K2Q9C-0WT4F /ROC/RF-E3K2Q9C7L5D4 /FPID/XP69960829100777571020250710826185008</t>
  </si>
  <si>
    <t>RF-E3K2Q9C7L5D4</t>
  </si>
  <si>
    <t>10/07/2025</t>
  </si>
  <si>
    <t>97RYNRLDJ9EJRN3KW51020250710826041413</t>
  </si>
  <si>
    <t>Jasmin Koelbl-Vogt FP569J2339228604 /EREF/STARLING-97RYNRLDJ9EJRN3KW5 /ROC/HENRY FINN VOGTREN /FPID/97RYNRLDJ9EJRN3KW51020250710826041413</t>
  </si>
  <si>
    <t>HENRY FINN VOGTREN</t>
  </si>
  <si>
    <t>RBC10075IVHHR7NK</t>
  </si>
  <si>
    <t>/REMI/91170155 BHULLAR2A TRAVEL FOR EDUCATION FEES HOSTEL PET4813 62191/OCMT/GBP1673,57//BENM/GB30HBUK40116091170155 Assam Place Li mited Partnership/EXCH/000000000000//ORDP/MANMEET KAUR BHULLAR 50 100566694104 FLAT NO 504 SS ARCADE ROAD NO 3 TI/OBK/HDFCINBBXXX H DFC BANK LIMITED HDFC BANK HOUSE SENAPATI BAPAT MARG MUMBAI</t>
  </si>
  <si>
    <t>RBC10075HSHIMT34</t>
  </si>
  <si>
    <t>/REMI/PAYMENT FOR ACCOMMODATION INV ALG -00001400 DD 26/05/2025 FOR ANATOLIY PETUKHOV B185008346747475/OCMT/GBP74,00//BENM/GB30HB UK40116091170155 Assam Place Limited Partnership/EXCH/00000000000 0//ORDP/PETUKHOV ANATOLIY NIKOLAYEVICH 050101.KZ97601761300000522 7 KZ, G.ALMAT/OBK/HSBKKZKXXXX HALYK BANK OF KAZAKHSTAN ABAY AVE , 109 V ALMATY</t>
  </si>
  <si>
    <t>RBC10075E9HINAWW</t>
  </si>
  <si>
    <t>/REMI//RFB/FRAIS DE LOYER //SMIDI GHALI GBS10075H7HIALQ8 /INS/SOG EFRPPXXX/OCMT/GBP5328,69//BENM/GB30HBUK40116091170155 Assam Place Limited Partnership/EXCH/000000000000//ORDP/GHAZI ILHAM 02281000 0150002979687023 58 AV MOHAMED VI KM 10 LOT MACHRE/OBK/SGMBMAMCXX X SOCIETE GENERALE MAROCAINE DE BANQU 55 BOULEVARD ABDELMOUMEN CA SABLAN</t>
  </si>
  <si>
    <t>FRAIS DE LOYER /</t>
  </si>
  <si>
    <t>DF25190094709234001020250709826200000</t>
  </si>
  <si>
    <t>Dmitry Pavlov FP568H3759002627 /EREF/E250709FC7ZQLJ2 /REMI/Revolut Ltd /ROC/Valeriia 12.14 /FPID/DF25190094709234001020250709826200000</t>
  </si>
  <si>
    <t>Valeriia 12.14</t>
  </si>
  <si>
    <t>09/07/2025</t>
  </si>
  <si>
    <t>RBC09075KIHFBQWW</t>
  </si>
  <si>
    <t>/REMI/FAMILY SUPPORT ASHARAF A 964 FEES FOR 20252026 GBS09075IUHF BNEO/OCMT/GBP10963,43//BENM/GB30HBUK40116091170155 Assam Place Li mited Partnership/EXCH/000000000000//ORDP/ASMA BUSHRA ANWAR AE860 030000544312030001 PO BOX 52103 HR DEPT ABU DHA/OBK/ADCBAEAAXXX A BU DHABI COMMERCIAL BANK SALAM STREET ABU DHABI</t>
  </si>
  <si>
    <t>RBC09075JEHEFE81</t>
  </si>
  <si>
    <t>/REMI/RAIMONDI TROJA 9.1.4-A EPH2507080189926/OCMT/GBP3324,34//BE NM/GB30HBUK40116091170155 Assam Place Limited Partnership/EXCH/00 0000000000//ORDP/1/RAIMONDI GIORGIA IT50M0306234210000000213833 2 /VIA UGO MARCHESE 74 3/OBK/MEDBITMMXXX BANCA MEDIOLANUM PALAZZO M EUCCI VIA FRANCESCO SFORZA 3 BASIGLIO</t>
  </si>
  <si>
    <t>RBP09075IVHCC03M</t>
  </si>
  <si>
    <t>RUK250708-003114, CHARGE RE /REMI/REF ASSET 07.04 /BNF/RUK250708-003114, CHARGE RE //GBP, 1 85 DATED 15/04/2025/OCMT/EUR15,00//BENM/40190077916623 HSBC Bank PLC SCS Coll ACC/EXCH/1.1337287//TMS/2025-07-09T03:25:52 GMT/MID/ 1.15932265</t>
  </si>
  <si>
    <t>REF ASSET 07.04</t>
  </si>
  <si>
    <t>XP20421111650913831020250708826185008</t>
  </si>
  <si>
    <t>Stripe Payments UK FP56774700322075 /EREF/RFW2T6K8O-5SPLI /ROC/RF-W2T6K8O1R0S8 /FPID/XP20421111650913831020250708826185008</t>
  </si>
  <si>
    <t>RF-W2T6K8O1R0S8</t>
  </si>
  <si>
    <t>08/07/2025</t>
  </si>
  <si>
    <t>401160-30028282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</si>
</sst>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top"/>
    </xf>
    <xf numFmtId="4" fontId="2" fillId="2" borderId="2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4" fontId="0" fillId="0" borderId="0" xfId="0" applyNumberFormat="1"/>
    <xf numFmtId="4" fontId="2" fillId="2" borderId="4" xfId="0" applyNumberFormat="1" applyFont="1" applyFill="1" applyBorder="1" applyAlignment="1">
      <alignment horizontal="right" vertical="top"/>
    </xf>
    <xf numFmtId="4" fontId="0" fillId="3" borderId="3" xfId="0" applyNumberFormat="1" applyFill="1" applyBorder="1"/>
    <xf numFmtId="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E4D2-B518-4458-B9D7-02AB1A0050D3}">
  <dimension ref="A1:AD97"/>
  <sheetViews>
    <sheetView tabSelected="1" topLeftCell="A80" workbookViewId="0">
      <selection activeCell="C97" sqref="C97"/>
    </sheetView>
  </sheetViews>
  <sheetFormatPr defaultRowHeight="15" x14ac:dyDescent="0.25"/>
  <cols>
    <col min="1" max="1" width="28.28515625" bestFit="1" customWidth="1"/>
    <col min="2" max="2" width="15.7109375" bestFit="1" customWidth="1"/>
    <col min="3" max="3" width="18" bestFit="1" customWidth="1"/>
    <col min="4" max="4" width="9.140625" bestFit="1" customWidth="1"/>
    <col min="5" max="5" width="13.85546875" bestFit="1" customWidth="1"/>
    <col min="6" max="6" width="10.5703125" bestFit="1" customWidth="1"/>
    <col min="7" max="7" width="24.7109375" bestFit="1" customWidth="1"/>
    <col min="8" max="8" width="14.42578125" bestFit="1" customWidth="1"/>
    <col min="9" max="9" width="14.28515625" bestFit="1" customWidth="1"/>
    <col min="10" max="10" width="21" bestFit="1" customWidth="1"/>
    <col min="11" max="11" width="33.5703125" bestFit="1" customWidth="1"/>
    <col min="12" max="12" width="23.140625" bestFit="1" customWidth="1"/>
    <col min="13" max="13" width="35.5703125" bestFit="1" customWidth="1"/>
    <col min="14" max="14" width="21.42578125" bestFit="1" customWidth="1"/>
    <col min="15" max="15" width="18.7109375" bestFit="1" customWidth="1"/>
    <col min="16" max="16" width="23.42578125" bestFit="1" customWidth="1"/>
    <col min="17" max="17" width="20.7109375" bestFit="1" customWidth="1"/>
    <col min="18" max="18" width="42.42578125" bestFit="1" customWidth="1"/>
    <col min="19" max="19" width="255.7109375" bestFit="1" customWidth="1"/>
    <col min="20" max="20" width="21.85546875" bestFit="1" customWidth="1"/>
    <col min="21" max="21" width="9.140625" bestFit="1" customWidth="1"/>
    <col min="22" max="22" width="10.140625" bestFit="1" customWidth="1"/>
    <col min="23" max="23" width="13.42578125" bestFit="1" customWidth="1"/>
    <col min="24" max="24" width="12.5703125" bestFit="1" customWidth="1"/>
    <col min="25" max="25" width="11.5703125" bestFit="1" customWidth="1"/>
    <col min="26" max="26" width="5.42578125" bestFit="1" customWidth="1"/>
    <col min="27" max="27" width="10.140625" bestFit="1" customWidth="1"/>
    <col min="29" max="29" width="11.42578125" bestFit="1" customWidth="1"/>
    <col min="30" max="30" width="10.28515625" bestFit="1" customWidth="1"/>
    <col min="31" max="31" width="11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285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3">
        <v>2776035.44</v>
      </c>
      <c r="K2" s="2" t="s">
        <v>35</v>
      </c>
      <c r="L2" s="3">
        <v>2776035.44</v>
      </c>
      <c r="M2" s="2" t="s">
        <v>35</v>
      </c>
      <c r="N2" s="3">
        <v>2782295.31</v>
      </c>
      <c r="O2" s="2" t="s">
        <v>36</v>
      </c>
      <c r="P2" s="3">
        <v>2782295.31</v>
      </c>
      <c r="Q2" s="2" t="s">
        <v>36</v>
      </c>
      <c r="R2" s="2" t="s">
        <v>44</v>
      </c>
      <c r="S2" s="2" t="s">
        <v>45</v>
      </c>
      <c r="T2" s="2" t="s">
        <v>39</v>
      </c>
      <c r="U2" s="2" t="s">
        <v>40</v>
      </c>
      <c r="V2" s="2" t="s">
        <v>43</v>
      </c>
      <c r="W2" s="3">
        <v>24755.02</v>
      </c>
      <c r="X2" s="4"/>
      <c r="Y2" s="3">
        <v>2352965.88</v>
      </c>
      <c r="Z2" s="2" t="s">
        <v>38</v>
      </c>
      <c r="AA2" s="2" t="s">
        <v>43</v>
      </c>
    </row>
    <row r="3" spans="1:27" x14ac:dyDescent="0.25">
      <c r="A3" s="2" t="s">
        <v>27</v>
      </c>
      <c r="B3" s="2" t="s">
        <v>285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3">
        <v>2776035.44</v>
      </c>
      <c r="K3" s="2" t="s">
        <v>35</v>
      </c>
      <c r="L3" s="3">
        <v>2776035.44</v>
      </c>
      <c r="M3" s="2" t="s">
        <v>35</v>
      </c>
      <c r="N3" s="3">
        <v>2782295.31</v>
      </c>
      <c r="O3" s="2" t="s">
        <v>36</v>
      </c>
      <c r="P3" s="3">
        <v>2782295.31</v>
      </c>
      <c r="Q3" s="2" t="s">
        <v>36</v>
      </c>
      <c r="R3" s="2" t="s">
        <v>46</v>
      </c>
      <c r="S3" s="2" t="s">
        <v>47</v>
      </c>
      <c r="T3" s="2" t="s">
        <v>39</v>
      </c>
      <c r="U3" s="2" t="s">
        <v>40</v>
      </c>
      <c r="V3" s="2" t="s">
        <v>43</v>
      </c>
      <c r="W3" s="3">
        <v>12833.32</v>
      </c>
      <c r="X3" s="4"/>
      <c r="Y3" s="3">
        <v>2328210.86</v>
      </c>
      <c r="Z3" s="2" t="s">
        <v>38</v>
      </c>
      <c r="AA3" s="2" t="s">
        <v>43</v>
      </c>
    </row>
    <row r="4" spans="1:27" x14ac:dyDescent="0.25">
      <c r="A4" s="2" t="s">
        <v>27</v>
      </c>
      <c r="B4" s="2" t="s">
        <v>285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3">
        <v>2776035.44</v>
      </c>
      <c r="K4" s="2" t="s">
        <v>35</v>
      </c>
      <c r="L4" s="3">
        <v>2776035.44</v>
      </c>
      <c r="M4" s="2" t="s">
        <v>35</v>
      </c>
      <c r="N4" s="3">
        <v>2782295.31</v>
      </c>
      <c r="O4" s="2" t="s">
        <v>36</v>
      </c>
      <c r="P4" s="3">
        <v>2782295.31</v>
      </c>
      <c r="Q4" s="2" t="s">
        <v>36</v>
      </c>
      <c r="R4" s="2" t="s">
        <v>48</v>
      </c>
      <c r="S4" s="2" t="s">
        <v>49</v>
      </c>
      <c r="T4" s="2" t="s">
        <v>39</v>
      </c>
      <c r="U4" s="2" t="s">
        <v>40</v>
      </c>
      <c r="V4" s="2" t="s">
        <v>43</v>
      </c>
      <c r="W4" s="3">
        <v>9732.86</v>
      </c>
      <c r="X4" s="4"/>
      <c r="Y4" s="3">
        <v>2315377.54</v>
      </c>
      <c r="Z4" s="2" t="s">
        <v>38</v>
      </c>
      <c r="AA4" s="2" t="s">
        <v>43</v>
      </c>
    </row>
    <row r="5" spans="1:27" x14ac:dyDescent="0.25">
      <c r="A5" s="2" t="s">
        <v>27</v>
      </c>
      <c r="B5" s="2" t="s">
        <v>285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3">
        <v>2776035.44</v>
      </c>
      <c r="K5" s="2" t="s">
        <v>35</v>
      </c>
      <c r="L5" s="3">
        <v>2776035.44</v>
      </c>
      <c r="M5" s="2" t="s">
        <v>35</v>
      </c>
      <c r="N5" s="3">
        <v>2782295.31</v>
      </c>
      <c r="O5" s="2" t="s">
        <v>36</v>
      </c>
      <c r="P5" s="3">
        <v>2782295.31</v>
      </c>
      <c r="Q5" s="2" t="s">
        <v>36</v>
      </c>
      <c r="R5" s="2" t="s">
        <v>50</v>
      </c>
      <c r="S5" s="2" t="s">
        <v>51</v>
      </c>
      <c r="T5" s="2" t="s">
        <v>39</v>
      </c>
      <c r="U5" s="2" t="s">
        <v>40</v>
      </c>
      <c r="V5" s="2" t="s">
        <v>43</v>
      </c>
      <c r="W5" s="3">
        <v>35685.629999999997</v>
      </c>
      <c r="X5" s="4"/>
      <c r="Y5" s="3">
        <v>2305644.6800000002</v>
      </c>
      <c r="Z5" s="2" t="s">
        <v>38</v>
      </c>
      <c r="AA5" s="2" t="s">
        <v>43</v>
      </c>
    </row>
    <row r="6" spans="1:27" x14ac:dyDescent="0.25">
      <c r="A6" s="2" t="s">
        <v>27</v>
      </c>
      <c r="B6" s="2" t="s">
        <v>285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3">
        <v>2776035.44</v>
      </c>
      <c r="K6" s="2" t="s">
        <v>35</v>
      </c>
      <c r="L6" s="3">
        <v>2776035.44</v>
      </c>
      <c r="M6" s="2" t="s">
        <v>35</v>
      </c>
      <c r="N6" s="3">
        <v>2782295.31</v>
      </c>
      <c r="O6" s="2" t="s">
        <v>36</v>
      </c>
      <c r="P6" s="3">
        <v>2782295.31</v>
      </c>
      <c r="Q6" s="2" t="s">
        <v>36</v>
      </c>
      <c r="R6" s="2" t="s">
        <v>52</v>
      </c>
      <c r="S6" s="2" t="s">
        <v>53</v>
      </c>
      <c r="T6" s="2" t="s">
        <v>39</v>
      </c>
      <c r="U6" s="2" t="s">
        <v>40</v>
      </c>
      <c r="V6" s="2" t="s">
        <v>43</v>
      </c>
      <c r="W6" s="3">
        <v>3129.3</v>
      </c>
      <c r="X6" s="4"/>
      <c r="Y6" s="3">
        <v>2269959.0499999998</v>
      </c>
      <c r="Z6" s="2" t="s">
        <v>38</v>
      </c>
      <c r="AA6" s="2" t="s">
        <v>43</v>
      </c>
    </row>
    <row r="7" spans="1:27" x14ac:dyDescent="0.25">
      <c r="A7" s="2" t="s">
        <v>27</v>
      </c>
      <c r="B7" s="2" t="s">
        <v>285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3">
        <v>2776035.44</v>
      </c>
      <c r="K7" s="2" t="s">
        <v>35</v>
      </c>
      <c r="L7" s="3">
        <v>2776035.44</v>
      </c>
      <c r="M7" s="2" t="s">
        <v>35</v>
      </c>
      <c r="N7" s="3">
        <v>2782295.31</v>
      </c>
      <c r="O7" s="2" t="s">
        <v>36</v>
      </c>
      <c r="P7" s="3">
        <v>2782295.31</v>
      </c>
      <c r="Q7" s="2" t="s">
        <v>36</v>
      </c>
      <c r="R7" s="2" t="s">
        <v>54</v>
      </c>
      <c r="S7" s="2" t="s">
        <v>55</v>
      </c>
      <c r="T7" s="2" t="s">
        <v>56</v>
      </c>
      <c r="U7" s="2" t="s">
        <v>57</v>
      </c>
      <c r="V7" s="2" t="s">
        <v>43</v>
      </c>
      <c r="W7" s="3">
        <v>18798.12</v>
      </c>
      <c r="X7" s="4"/>
      <c r="Y7" s="3">
        <v>2266829.75</v>
      </c>
      <c r="Z7" s="2" t="s">
        <v>38</v>
      </c>
      <c r="AA7" s="2" t="s">
        <v>43</v>
      </c>
    </row>
    <row r="8" spans="1:27" x14ac:dyDescent="0.25">
      <c r="A8" s="2" t="s">
        <v>27</v>
      </c>
      <c r="B8" s="2" t="s">
        <v>285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3">
        <v>2776035.44</v>
      </c>
      <c r="K8" s="2" t="s">
        <v>35</v>
      </c>
      <c r="L8" s="3">
        <v>2776035.44</v>
      </c>
      <c r="M8" s="2" t="s">
        <v>35</v>
      </c>
      <c r="N8" s="3">
        <v>2782295.31</v>
      </c>
      <c r="O8" s="2" t="s">
        <v>36</v>
      </c>
      <c r="P8" s="3">
        <v>2782295.31</v>
      </c>
      <c r="Q8" s="2" t="s">
        <v>36</v>
      </c>
      <c r="R8" s="2" t="s">
        <v>58</v>
      </c>
      <c r="S8" s="2" t="s">
        <v>59</v>
      </c>
      <c r="T8" s="2" t="s">
        <v>39</v>
      </c>
      <c r="U8" s="2" t="s">
        <v>40</v>
      </c>
      <c r="V8" s="2" t="s">
        <v>43</v>
      </c>
      <c r="W8" s="3">
        <v>8300</v>
      </c>
      <c r="X8" s="4"/>
      <c r="Y8" s="3">
        <v>2248031.63</v>
      </c>
      <c r="Z8" s="2" t="s">
        <v>38</v>
      </c>
      <c r="AA8" s="2" t="s">
        <v>43</v>
      </c>
    </row>
    <row r="9" spans="1:27" x14ac:dyDescent="0.25">
      <c r="A9" s="2" t="s">
        <v>27</v>
      </c>
      <c r="B9" s="2" t="s">
        <v>285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3">
        <v>2776035.44</v>
      </c>
      <c r="K9" s="2" t="s">
        <v>35</v>
      </c>
      <c r="L9" s="3">
        <v>2776035.44</v>
      </c>
      <c r="M9" s="2" t="s">
        <v>35</v>
      </c>
      <c r="N9" s="3">
        <v>2782295.31</v>
      </c>
      <c r="O9" s="2" t="s">
        <v>36</v>
      </c>
      <c r="P9" s="3">
        <v>2782295.31</v>
      </c>
      <c r="Q9" s="2" t="s">
        <v>36</v>
      </c>
      <c r="R9" s="2" t="s">
        <v>60</v>
      </c>
      <c r="S9" s="2" t="s">
        <v>61</v>
      </c>
      <c r="T9" s="2" t="s">
        <v>41</v>
      </c>
      <c r="U9" s="2" t="s">
        <v>42</v>
      </c>
      <c r="V9" s="2" t="s">
        <v>43</v>
      </c>
      <c r="W9" s="3">
        <v>1578.98</v>
      </c>
      <c r="X9" s="4"/>
      <c r="Y9" s="3">
        <v>2239731.63</v>
      </c>
      <c r="Z9" s="2" t="s">
        <v>38</v>
      </c>
      <c r="AA9" s="2" t="s">
        <v>43</v>
      </c>
    </row>
    <row r="10" spans="1:27" x14ac:dyDescent="0.25">
      <c r="A10" s="2" t="s">
        <v>27</v>
      </c>
      <c r="B10" s="2" t="s">
        <v>285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3">
        <v>2776035.44</v>
      </c>
      <c r="K10" s="2" t="s">
        <v>35</v>
      </c>
      <c r="L10" s="3">
        <v>2776035.44</v>
      </c>
      <c r="M10" s="2" t="s">
        <v>35</v>
      </c>
      <c r="N10" s="3">
        <v>2782295.31</v>
      </c>
      <c r="O10" s="2" t="s">
        <v>36</v>
      </c>
      <c r="P10" s="3">
        <v>2782295.31</v>
      </c>
      <c r="Q10" s="2" t="s">
        <v>36</v>
      </c>
      <c r="R10" s="2" t="s">
        <v>62</v>
      </c>
      <c r="S10" s="2" t="s">
        <v>63</v>
      </c>
      <c r="T10" s="2" t="s">
        <v>64</v>
      </c>
      <c r="U10" s="2" t="s">
        <v>42</v>
      </c>
      <c r="V10" s="2" t="s">
        <v>43</v>
      </c>
      <c r="W10" s="3">
        <v>17605.169999999998</v>
      </c>
      <c r="X10" s="4"/>
      <c r="Y10" s="3">
        <v>2238152.65</v>
      </c>
      <c r="Z10" s="2" t="s">
        <v>38</v>
      </c>
      <c r="AA10" s="2" t="s">
        <v>43</v>
      </c>
    </row>
    <row r="11" spans="1:27" x14ac:dyDescent="0.25">
      <c r="A11" s="2" t="s">
        <v>27</v>
      </c>
      <c r="B11" s="2" t="s">
        <v>285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34</v>
      </c>
      <c r="J11" s="3">
        <v>2776035.44</v>
      </c>
      <c r="K11" s="2" t="s">
        <v>35</v>
      </c>
      <c r="L11" s="3">
        <v>2776035.44</v>
      </c>
      <c r="M11" s="2" t="s">
        <v>35</v>
      </c>
      <c r="N11" s="3">
        <v>2782295.31</v>
      </c>
      <c r="O11" s="2" t="s">
        <v>36</v>
      </c>
      <c r="P11" s="3">
        <v>2782295.31</v>
      </c>
      <c r="Q11" s="2" t="s">
        <v>36</v>
      </c>
      <c r="R11" s="2" t="s">
        <v>65</v>
      </c>
      <c r="S11" s="2" t="s">
        <v>66</v>
      </c>
      <c r="T11" s="2" t="s">
        <v>67</v>
      </c>
      <c r="U11" s="2" t="s">
        <v>37</v>
      </c>
      <c r="V11" s="2" t="s">
        <v>68</v>
      </c>
      <c r="W11" s="3">
        <v>20253.88</v>
      </c>
      <c r="X11" s="4"/>
      <c r="Y11" s="3">
        <v>2220547.48</v>
      </c>
      <c r="Z11" s="2" t="s">
        <v>38</v>
      </c>
      <c r="AA11" s="2" t="s">
        <v>68</v>
      </c>
    </row>
    <row r="12" spans="1:27" x14ac:dyDescent="0.25">
      <c r="A12" s="2" t="s">
        <v>27</v>
      </c>
      <c r="B12" s="2" t="s">
        <v>285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3">
        <v>2776035.44</v>
      </c>
      <c r="K12" s="2" t="s">
        <v>35</v>
      </c>
      <c r="L12" s="3">
        <v>2776035.44</v>
      </c>
      <c r="M12" s="2" t="s">
        <v>35</v>
      </c>
      <c r="N12" s="3">
        <v>2782295.31</v>
      </c>
      <c r="O12" s="2" t="s">
        <v>36</v>
      </c>
      <c r="P12" s="3">
        <v>2782295.31</v>
      </c>
      <c r="Q12" s="2" t="s">
        <v>36</v>
      </c>
      <c r="R12" s="2" t="s">
        <v>69</v>
      </c>
      <c r="S12" s="2" t="s">
        <v>70</v>
      </c>
      <c r="T12" s="2" t="s">
        <v>71</v>
      </c>
      <c r="U12" s="2" t="s">
        <v>37</v>
      </c>
      <c r="V12" s="2" t="s">
        <v>68</v>
      </c>
      <c r="W12" s="3">
        <v>5342.35</v>
      </c>
      <c r="X12" s="4"/>
      <c r="Y12" s="3">
        <v>2200293.6</v>
      </c>
      <c r="Z12" s="2" t="s">
        <v>38</v>
      </c>
      <c r="AA12" s="2" t="s">
        <v>68</v>
      </c>
    </row>
    <row r="13" spans="1:27" x14ac:dyDescent="0.25">
      <c r="A13" s="2" t="s">
        <v>27</v>
      </c>
      <c r="B13" s="2" t="s">
        <v>285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3">
        <v>2776035.44</v>
      </c>
      <c r="K13" s="2" t="s">
        <v>35</v>
      </c>
      <c r="L13" s="3">
        <v>2776035.44</v>
      </c>
      <c r="M13" s="2" t="s">
        <v>35</v>
      </c>
      <c r="N13" s="3">
        <v>2782295.31</v>
      </c>
      <c r="O13" s="2" t="s">
        <v>36</v>
      </c>
      <c r="P13" s="3">
        <v>2782295.31</v>
      </c>
      <c r="Q13" s="2" t="s">
        <v>36</v>
      </c>
      <c r="R13" s="2" t="s">
        <v>72</v>
      </c>
      <c r="S13" s="2" t="s">
        <v>73</v>
      </c>
      <c r="T13" s="2" t="s">
        <v>74</v>
      </c>
      <c r="U13" s="2" t="s">
        <v>37</v>
      </c>
      <c r="V13" s="2" t="s">
        <v>75</v>
      </c>
      <c r="W13" s="3">
        <v>132.08000000000001</v>
      </c>
      <c r="X13" s="4"/>
      <c r="Y13" s="3">
        <v>2194951.25</v>
      </c>
      <c r="Z13" s="2" t="s">
        <v>38</v>
      </c>
      <c r="AA13" s="2" t="s">
        <v>75</v>
      </c>
    </row>
    <row r="14" spans="1:27" x14ac:dyDescent="0.25">
      <c r="A14" s="2" t="s">
        <v>27</v>
      </c>
      <c r="B14" s="2" t="s">
        <v>285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3">
        <v>2776035.44</v>
      </c>
      <c r="K14" s="2" t="s">
        <v>35</v>
      </c>
      <c r="L14" s="3">
        <v>2776035.44</v>
      </c>
      <c r="M14" s="2" t="s">
        <v>35</v>
      </c>
      <c r="N14" s="3">
        <v>2782295.31</v>
      </c>
      <c r="O14" s="2" t="s">
        <v>36</v>
      </c>
      <c r="P14" s="3">
        <v>2782295.31</v>
      </c>
      <c r="Q14" s="2" t="s">
        <v>36</v>
      </c>
      <c r="R14" s="2" t="s">
        <v>76</v>
      </c>
      <c r="S14" s="2" t="s">
        <v>77</v>
      </c>
      <c r="T14" s="2" t="s">
        <v>78</v>
      </c>
      <c r="U14" s="2" t="s">
        <v>37</v>
      </c>
      <c r="V14" s="2" t="s">
        <v>75</v>
      </c>
      <c r="W14" s="3">
        <v>17957.52</v>
      </c>
      <c r="X14" s="4"/>
      <c r="Y14" s="3">
        <v>2194819.17</v>
      </c>
      <c r="Z14" s="2" t="s">
        <v>38</v>
      </c>
      <c r="AA14" s="2" t="s">
        <v>75</v>
      </c>
    </row>
    <row r="15" spans="1:27" x14ac:dyDescent="0.25">
      <c r="A15" s="2" t="s">
        <v>27</v>
      </c>
      <c r="B15" s="2" t="s">
        <v>285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33</v>
      </c>
      <c r="I15" s="2" t="s">
        <v>34</v>
      </c>
      <c r="J15" s="3">
        <v>2776035.44</v>
      </c>
      <c r="K15" s="2" t="s">
        <v>35</v>
      </c>
      <c r="L15" s="3">
        <v>2776035.44</v>
      </c>
      <c r="M15" s="2" t="s">
        <v>35</v>
      </c>
      <c r="N15" s="3">
        <v>2782295.31</v>
      </c>
      <c r="O15" s="2" t="s">
        <v>36</v>
      </c>
      <c r="P15" s="3">
        <v>2782295.31</v>
      </c>
      <c r="Q15" s="2" t="s">
        <v>36</v>
      </c>
      <c r="R15" s="2" t="s">
        <v>79</v>
      </c>
      <c r="S15" s="2" t="s">
        <v>80</v>
      </c>
      <c r="T15" s="2" t="s">
        <v>81</v>
      </c>
      <c r="U15" s="2" t="s">
        <v>37</v>
      </c>
      <c r="V15" s="2" t="s">
        <v>75</v>
      </c>
      <c r="W15" s="3">
        <v>19697.580000000002</v>
      </c>
      <c r="X15" s="4"/>
      <c r="Y15" s="3">
        <v>2176861.65</v>
      </c>
      <c r="Z15" s="2" t="s">
        <v>38</v>
      </c>
      <c r="AA15" s="2" t="s">
        <v>75</v>
      </c>
    </row>
    <row r="16" spans="1:27" x14ac:dyDescent="0.25">
      <c r="A16" s="2" t="s">
        <v>27</v>
      </c>
      <c r="B16" s="2" t="s">
        <v>285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3">
        <v>2776035.44</v>
      </c>
      <c r="K16" s="2" t="s">
        <v>35</v>
      </c>
      <c r="L16" s="3">
        <v>2776035.44</v>
      </c>
      <c r="M16" s="2" t="s">
        <v>35</v>
      </c>
      <c r="N16" s="3">
        <v>2782295.31</v>
      </c>
      <c r="O16" s="2" t="s">
        <v>36</v>
      </c>
      <c r="P16" s="3">
        <v>2782295.31</v>
      </c>
      <c r="Q16" s="2" t="s">
        <v>36</v>
      </c>
      <c r="R16" s="2" t="s">
        <v>82</v>
      </c>
      <c r="S16" s="2" t="s">
        <v>83</v>
      </c>
      <c r="T16" s="2" t="s">
        <v>39</v>
      </c>
      <c r="U16" s="2" t="s">
        <v>40</v>
      </c>
      <c r="V16" s="2" t="s">
        <v>75</v>
      </c>
      <c r="W16" s="3">
        <v>6742.93</v>
      </c>
      <c r="X16" s="4"/>
      <c r="Y16" s="3">
        <v>2157164.0699999998</v>
      </c>
      <c r="Z16" s="2" t="s">
        <v>38</v>
      </c>
      <c r="AA16" s="2" t="s">
        <v>75</v>
      </c>
    </row>
    <row r="17" spans="1:27" x14ac:dyDescent="0.25">
      <c r="A17" s="2" t="s">
        <v>27</v>
      </c>
      <c r="B17" s="2" t="s">
        <v>285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3">
        <v>2776035.44</v>
      </c>
      <c r="K17" s="2" t="s">
        <v>35</v>
      </c>
      <c r="L17" s="3">
        <v>2776035.44</v>
      </c>
      <c r="M17" s="2" t="s">
        <v>35</v>
      </c>
      <c r="N17" s="3">
        <v>2782295.31</v>
      </c>
      <c r="O17" s="2" t="s">
        <v>36</v>
      </c>
      <c r="P17" s="3">
        <v>2782295.31</v>
      </c>
      <c r="Q17" s="2" t="s">
        <v>36</v>
      </c>
      <c r="R17" s="2" t="s">
        <v>84</v>
      </c>
      <c r="S17" s="2" t="s">
        <v>85</v>
      </c>
      <c r="T17" s="2" t="s">
        <v>39</v>
      </c>
      <c r="U17" s="2" t="s">
        <v>40</v>
      </c>
      <c r="V17" s="2" t="s">
        <v>75</v>
      </c>
      <c r="W17" s="3">
        <v>13583.13</v>
      </c>
      <c r="X17" s="4"/>
      <c r="Y17" s="3">
        <v>2150421.14</v>
      </c>
      <c r="Z17" s="2" t="s">
        <v>38</v>
      </c>
      <c r="AA17" s="2" t="s">
        <v>75</v>
      </c>
    </row>
    <row r="18" spans="1:27" x14ac:dyDescent="0.25">
      <c r="A18" s="2" t="s">
        <v>27</v>
      </c>
      <c r="B18" s="2" t="s">
        <v>285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3">
        <v>2776035.44</v>
      </c>
      <c r="K18" s="2" t="s">
        <v>35</v>
      </c>
      <c r="L18" s="3">
        <v>2776035.44</v>
      </c>
      <c r="M18" s="2" t="s">
        <v>35</v>
      </c>
      <c r="N18" s="3">
        <v>2782295.31</v>
      </c>
      <c r="O18" s="2" t="s">
        <v>36</v>
      </c>
      <c r="P18" s="3">
        <v>2782295.31</v>
      </c>
      <c r="Q18" s="2" t="s">
        <v>36</v>
      </c>
      <c r="R18" s="2" t="s">
        <v>86</v>
      </c>
      <c r="S18" s="2" t="s">
        <v>87</v>
      </c>
      <c r="T18" s="2" t="s">
        <v>39</v>
      </c>
      <c r="U18" s="2" t="s">
        <v>40</v>
      </c>
      <c r="V18" s="2" t="s">
        <v>75</v>
      </c>
      <c r="W18" s="3">
        <v>14559</v>
      </c>
      <c r="X18" s="4"/>
      <c r="Y18" s="3">
        <v>2136838.0099999998</v>
      </c>
      <c r="Z18" s="2" t="s">
        <v>38</v>
      </c>
      <c r="AA18" s="2" t="s">
        <v>75</v>
      </c>
    </row>
    <row r="19" spans="1:27" x14ac:dyDescent="0.25">
      <c r="A19" s="2" t="s">
        <v>27</v>
      </c>
      <c r="B19" s="2" t="s">
        <v>285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34</v>
      </c>
      <c r="J19" s="3">
        <v>2776035.44</v>
      </c>
      <c r="K19" s="2" t="s">
        <v>35</v>
      </c>
      <c r="L19" s="3">
        <v>2776035.44</v>
      </c>
      <c r="M19" s="2" t="s">
        <v>35</v>
      </c>
      <c r="N19" s="3">
        <v>2782295.31</v>
      </c>
      <c r="O19" s="2" t="s">
        <v>36</v>
      </c>
      <c r="P19" s="3">
        <v>2782295.31</v>
      </c>
      <c r="Q19" s="2" t="s">
        <v>36</v>
      </c>
      <c r="R19" s="2" t="s">
        <v>88</v>
      </c>
      <c r="S19" s="2" t="s">
        <v>89</v>
      </c>
      <c r="T19" s="2" t="s">
        <v>39</v>
      </c>
      <c r="U19" s="2" t="s">
        <v>40</v>
      </c>
      <c r="V19" s="2" t="s">
        <v>75</v>
      </c>
      <c r="W19" s="3">
        <v>19125.57</v>
      </c>
      <c r="X19" s="4"/>
      <c r="Y19" s="3">
        <v>2122279.0099999998</v>
      </c>
      <c r="Z19" s="2" t="s">
        <v>38</v>
      </c>
      <c r="AA19" s="2" t="s">
        <v>75</v>
      </c>
    </row>
    <row r="20" spans="1:27" x14ac:dyDescent="0.25">
      <c r="A20" s="2" t="s">
        <v>27</v>
      </c>
      <c r="B20" s="2" t="s">
        <v>285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33</v>
      </c>
      <c r="I20" s="2" t="s">
        <v>34</v>
      </c>
      <c r="J20" s="3">
        <v>2776035.44</v>
      </c>
      <c r="K20" s="2" t="s">
        <v>35</v>
      </c>
      <c r="L20" s="3">
        <v>2776035.44</v>
      </c>
      <c r="M20" s="2" t="s">
        <v>35</v>
      </c>
      <c r="N20" s="3">
        <v>2782295.31</v>
      </c>
      <c r="O20" s="2" t="s">
        <v>36</v>
      </c>
      <c r="P20" s="3">
        <v>2782295.31</v>
      </c>
      <c r="Q20" s="2" t="s">
        <v>36</v>
      </c>
      <c r="R20" s="2" t="s">
        <v>90</v>
      </c>
      <c r="S20" s="2" t="s">
        <v>91</v>
      </c>
      <c r="T20" s="2" t="s">
        <v>39</v>
      </c>
      <c r="U20" s="2" t="s">
        <v>40</v>
      </c>
      <c r="V20" s="2" t="s">
        <v>75</v>
      </c>
      <c r="W20" s="3">
        <v>4246.42</v>
      </c>
      <c r="X20" s="4"/>
      <c r="Y20" s="3">
        <v>2103153.44</v>
      </c>
      <c r="Z20" s="2" t="s">
        <v>38</v>
      </c>
      <c r="AA20" s="2" t="s">
        <v>75</v>
      </c>
    </row>
    <row r="21" spans="1:27" x14ac:dyDescent="0.25">
      <c r="A21" s="2" t="s">
        <v>27</v>
      </c>
      <c r="B21" s="2" t="s">
        <v>285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3">
        <v>2776035.44</v>
      </c>
      <c r="K21" s="2" t="s">
        <v>35</v>
      </c>
      <c r="L21" s="3">
        <v>2776035.44</v>
      </c>
      <c r="M21" s="2" t="s">
        <v>35</v>
      </c>
      <c r="N21" s="3">
        <v>2782295.31</v>
      </c>
      <c r="O21" s="2" t="s">
        <v>36</v>
      </c>
      <c r="P21" s="3">
        <v>2782295.31</v>
      </c>
      <c r="Q21" s="2" t="s">
        <v>36</v>
      </c>
      <c r="R21" s="2" t="s">
        <v>92</v>
      </c>
      <c r="S21" s="2" t="s">
        <v>93</v>
      </c>
      <c r="T21" s="2" t="s">
        <v>39</v>
      </c>
      <c r="U21" s="2" t="s">
        <v>40</v>
      </c>
      <c r="V21" s="2" t="s">
        <v>75</v>
      </c>
      <c r="W21" s="3">
        <v>8656</v>
      </c>
      <c r="X21" s="4"/>
      <c r="Y21" s="3">
        <v>2098907.02</v>
      </c>
      <c r="Z21" s="2" t="s">
        <v>38</v>
      </c>
      <c r="AA21" s="2" t="s">
        <v>75</v>
      </c>
    </row>
    <row r="22" spans="1:27" x14ac:dyDescent="0.25">
      <c r="A22" s="2" t="s">
        <v>27</v>
      </c>
      <c r="B22" s="2" t="s">
        <v>285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3">
        <v>2776035.44</v>
      </c>
      <c r="K22" s="2" t="s">
        <v>35</v>
      </c>
      <c r="L22" s="3">
        <v>2776035.44</v>
      </c>
      <c r="M22" s="2" t="s">
        <v>35</v>
      </c>
      <c r="N22" s="3">
        <v>2782295.31</v>
      </c>
      <c r="O22" s="2" t="s">
        <v>36</v>
      </c>
      <c r="P22" s="3">
        <v>2782295.31</v>
      </c>
      <c r="Q22" s="2" t="s">
        <v>36</v>
      </c>
      <c r="R22" s="2" t="s">
        <v>94</v>
      </c>
      <c r="S22" s="2" t="s">
        <v>95</v>
      </c>
      <c r="T22" s="2" t="s">
        <v>39</v>
      </c>
      <c r="U22" s="2" t="s">
        <v>40</v>
      </c>
      <c r="V22" s="2" t="s">
        <v>75</v>
      </c>
      <c r="W22" s="3">
        <v>4955.59</v>
      </c>
      <c r="X22" s="4"/>
      <c r="Y22" s="3">
        <v>2090251.02</v>
      </c>
      <c r="Z22" s="2" t="s">
        <v>38</v>
      </c>
      <c r="AA22" s="2" t="s">
        <v>75</v>
      </c>
    </row>
    <row r="23" spans="1:27" x14ac:dyDescent="0.25">
      <c r="A23" s="2" t="s">
        <v>27</v>
      </c>
      <c r="B23" s="2" t="s">
        <v>285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32</v>
      </c>
      <c r="H23" s="2" t="s">
        <v>33</v>
      </c>
      <c r="I23" s="2" t="s">
        <v>34</v>
      </c>
      <c r="J23" s="3">
        <v>2776035.44</v>
      </c>
      <c r="K23" s="2" t="s">
        <v>35</v>
      </c>
      <c r="L23" s="3">
        <v>2776035.44</v>
      </c>
      <c r="M23" s="2" t="s">
        <v>35</v>
      </c>
      <c r="N23" s="3">
        <v>2782295.31</v>
      </c>
      <c r="O23" s="2" t="s">
        <v>36</v>
      </c>
      <c r="P23" s="3">
        <v>2782295.31</v>
      </c>
      <c r="Q23" s="2" t="s">
        <v>36</v>
      </c>
      <c r="R23" s="2" t="s">
        <v>96</v>
      </c>
      <c r="S23" s="2" t="s">
        <v>97</v>
      </c>
      <c r="T23" s="2" t="s">
        <v>41</v>
      </c>
      <c r="U23" s="2" t="s">
        <v>42</v>
      </c>
      <c r="V23" s="2" t="s">
        <v>75</v>
      </c>
      <c r="W23" s="3">
        <v>1767.01</v>
      </c>
      <c r="X23" s="4"/>
      <c r="Y23" s="3">
        <v>2085295.43</v>
      </c>
      <c r="Z23" s="2" t="s">
        <v>38</v>
      </c>
      <c r="AA23" s="2" t="s">
        <v>75</v>
      </c>
    </row>
    <row r="24" spans="1:27" x14ac:dyDescent="0.25">
      <c r="A24" s="2" t="s">
        <v>27</v>
      </c>
      <c r="B24" s="2" t="s">
        <v>285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32</v>
      </c>
      <c r="H24" s="2" t="s">
        <v>33</v>
      </c>
      <c r="I24" s="2" t="s">
        <v>34</v>
      </c>
      <c r="J24" s="3">
        <v>2776035.44</v>
      </c>
      <c r="K24" s="2" t="s">
        <v>35</v>
      </c>
      <c r="L24" s="3">
        <v>2776035.44</v>
      </c>
      <c r="M24" s="2" t="s">
        <v>35</v>
      </c>
      <c r="N24" s="3">
        <v>2782295.31</v>
      </c>
      <c r="O24" s="2" t="s">
        <v>36</v>
      </c>
      <c r="P24" s="3">
        <v>2782295.31</v>
      </c>
      <c r="Q24" s="2" t="s">
        <v>36</v>
      </c>
      <c r="R24" s="2" t="s">
        <v>98</v>
      </c>
      <c r="S24" s="2" t="s">
        <v>99</v>
      </c>
      <c r="T24" s="2" t="s">
        <v>100</v>
      </c>
      <c r="U24" s="2" t="s">
        <v>37</v>
      </c>
      <c r="V24" s="2" t="s">
        <v>101</v>
      </c>
      <c r="W24" s="3">
        <v>9375.57</v>
      </c>
      <c r="X24" s="4"/>
      <c r="Y24" s="3">
        <v>2083528.42</v>
      </c>
      <c r="Z24" s="2" t="s">
        <v>38</v>
      </c>
      <c r="AA24" s="2" t="s">
        <v>101</v>
      </c>
    </row>
    <row r="25" spans="1:27" x14ac:dyDescent="0.25">
      <c r="A25" s="2" t="s">
        <v>27</v>
      </c>
      <c r="B25" s="2" t="s">
        <v>285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32</v>
      </c>
      <c r="H25" s="2" t="s">
        <v>33</v>
      </c>
      <c r="I25" s="2" t="s">
        <v>34</v>
      </c>
      <c r="J25" s="3">
        <v>2776035.44</v>
      </c>
      <c r="K25" s="2" t="s">
        <v>35</v>
      </c>
      <c r="L25" s="3">
        <v>2776035.44</v>
      </c>
      <c r="M25" s="2" t="s">
        <v>35</v>
      </c>
      <c r="N25" s="3">
        <v>2782295.31</v>
      </c>
      <c r="O25" s="2" t="s">
        <v>36</v>
      </c>
      <c r="P25" s="3">
        <v>2782295.31</v>
      </c>
      <c r="Q25" s="2" t="s">
        <v>36</v>
      </c>
      <c r="R25" s="2" t="s">
        <v>102</v>
      </c>
      <c r="S25" s="2" t="s">
        <v>103</v>
      </c>
      <c r="T25" s="2" t="s">
        <v>104</v>
      </c>
      <c r="U25" s="2" t="s">
        <v>37</v>
      </c>
      <c r="V25" s="2" t="s">
        <v>101</v>
      </c>
      <c r="W25" s="3">
        <v>50</v>
      </c>
      <c r="X25" s="4"/>
      <c r="Y25" s="3">
        <v>2074152.85</v>
      </c>
      <c r="Z25" s="2" t="s">
        <v>38</v>
      </c>
      <c r="AA25" s="2" t="s">
        <v>101</v>
      </c>
    </row>
    <row r="26" spans="1:27" x14ac:dyDescent="0.25">
      <c r="A26" s="2" t="s">
        <v>27</v>
      </c>
      <c r="B26" s="2" t="s">
        <v>285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32</v>
      </c>
      <c r="H26" s="2" t="s">
        <v>33</v>
      </c>
      <c r="I26" s="2" t="s">
        <v>34</v>
      </c>
      <c r="J26" s="3">
        <v>2776035.44</v>
      </c>
      <c r="K26" s="2" t="s">
        <v>35</v>
      </c>
      <c r="L26" s="3">
        <v>2776035.44</v>
      </c>
      <c r="M26" s="2" t="s">
        <v>35</v>
      </c>
      <c r="N26" s="3">
        <v>2782295.31</v>
      </c>
      <c r="O26" s="2" t="s">
        <v>36</v>
      </c>
      <c r="P26" s="3">
        <v>2782295.31</v>
      </c>
      <c r="Q26" s="2" t="s">
        <v>36</v>
      </c>
      <c r="R26" s="2" t="s">
        <v>105</v>
      </c>
      <c r="S26" s="2" t="s">
        <v>106</v>
      </c>
      <c r="T26" s="2" t="s">
        <v>39</v>
      </c>
      <c r="U26" s="2" t="s">
        <v>40</v>
      </c>
      <c r="V26" s="2" t="s">
        <v>101</v>
      </c>
      <c r="W26" s="3">
        <v>4050.46</v>
      </c>
      <c r="X26" s="4"/>
      <c r="Y26" s="3">
        <v>2074102.85</v>
      </c>
      <c r="Z26" s="2" t="s">
        <v>38</v>
      </c>
      <c r="AA26" s="2" t="s">
        <v>101</v>
      </c>
    </row>
    <row r="27" spans="1:27" x14ac:dyDescent="0.25">
      <c r="A27" s="2" t="s">
        <v>27</v>
      </c>
      <c r="B27" s="2" t="s">
        <v>285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32</v>
      </c>
      <c r="H27" s="2" t="s">
        <v>33</v>
      </c>
      <c r="I27" s="2" t="s">
        <v>34</v>
      </c>
      <c r="J27" s="3">
        <v>2776035.44</v>
      </c>
      <c r="K27" s="2" t="s">
        <v>35</v>
      </c>
      <c r="L27" s="3">
        <v>2776035.44</v>
      </c>
      <c r="M27" s="2" t="s">
        <v>35</v>
      </c>
      <c r="N27" s="3">
        <v>2782295.31</v>
      </c>
      <c r="O27" s="2" t="s">
        <v>36</v>
      </c>
      <c r="P27" s="3">
        <v>2782295.31</v>
      </c>
      <c r="Q27" s="2" t="s">
        <v>36</v>
      </c>
      <c r="R27" s="2" t="s">
        <v>107</v>
      </c>
      <c r="S27" s="2" t="s">
        <v>108</v>
      </c>
      <c r="T27" s="2" t="s">
        <v>56</v>
      </c>
      <c r="U27" s="2" t="s">
        <v>57</v>
      </c>
      <c r="V27" s="2" t="s">
        <v>101</v>
      </c>
      <c r="W27" s="3">
        <v>181.49</v>
      </c>
      <c r="X27" s="4"/>
      <c r="Y27" s="3">
        <v>2070052.39</v>
      </c>
      <c r="Z27" s="2" t="s">
        <v>38</v>
      </c>
      <c r="AA27" s="2" t="s">
        <v>101</v>
      </c>
    </row>
    <row r="28" spans="1:27" x14ac:dyDescent="0.25">
      <c r="A28" s="2" t="s">
        <v>27</v>
      </c>
      <c r="B28" s="2" t="s">
        <v>285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32</v>
      </c>
      <c r="H28" s="2" t="s">
        <v>33</v>
      </c>
      <c r="I28" s="2" t="s">
        <v>34</v>
      </c>
      <c r="J28" s="3">
        <v>2776035.44</v>
      </c>
      <c r="K28" s="2" t="s">
        <v>35</v>
      </c>
      <c r="L28" s="3">
        <v>2776035.44</v>
      </c>
      <c r="M28" s="2" t="s">
        <v>35</v>
      </c>
      <c r="N28" s="3">
        <v>2782295.31</v>
      </c>
      <c r="O28" s="2" t="s">
        <v>36</v>
      </c>
      <c r="P28" s="3">
        <v>2782295.31</v>
      </c>
      <c r="Q28" s="2" t="s">
        <v>36</v>
      </c>
      <c r="R28" s="2" t="s">
        <v>109</v>
      </c>
      <c r="S28" s="2" t="s">
        <v>110</v>
      </c>
      <c r="T28" s="2" t="s">
        <v>39</v>
      </c>
      <c r="U28" s="2" t="s">
        <v>40</v>
      </c>
      <c r="V28" s="2" t="s">
        <v>101</v>
      </c>
      <c r="W28" s="3">
        <v>9917.86</v>
      </c>
      <c r="X28" s="4"/>
      <c r="Y28" s="3">
        <v>2069870.9</v>
      </c>
      <c r="Z28" s="2" t="s">
        <v>38</v>
      </c>
      <c r="AA28" s="2" t="s">
        <v>101</v>
      </c>
    </row>
    <row r="29" spans="1:27" x14ac:dyDescent="0.25">
      <c r="A29" s="2" t="s">
        <v>27</v>
      </c>
      <c r="B29" s="2" t="s">
        <v>285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32</v>
      </c>
      <c r="H29" s="2" t="s">
        <v>33</v>
      </c>
      <c r="I29" s="2" t="s">
        <v>34</v>
      </c>
      <c r="J29" s="3">
        <v>2776035.44</v>
      </c>
      <c r="K29" s="2" t="s">
        <v>35</v>
      </c>
      <c r="L29" s="3">
        <v>2776035.44</v>
      </c>
      <c r="M29" s="2" t="s">
        <v>35</v>
      </c>
      <c r="N29" s="3">
        <v>2782295.31</v>
      </c>
      <c r="O29" s="2" t="s">
        <v>36</v>
      </c>
      <c r="P29" s="3">
        <v>2782295.31</v>
      </c>
      <c r="Q29" s="2" t="s">
        <v>36</v>
      </c>
      <c r="R29" s="2" t="s">
        <v>111</v>
      </c>
      <c r="S29" s="2" t="s">
        <v>112</v>
      </c>
      <c r="T29" s="2" t="s">
        <v>39</v>
      </c>
      <c r="U29" s="2" t="s">
        <v>40</v>
      </c>
      <c r="V29" s="2" t="s">
        <v>101</v>
      </c>
      <c r="W29" s="3">
        <v>29481.65</v>
      </c>
      <c r="X29" s="4"/>
      <c r="Y29" s="3">
        <v>2059953.04</v>
      </c>
      <c r="Z29" s="2" t="s">
        <v>38</v>
      </c>
      <c r="AA29" s="2" t="s">
        <v>101</v>
      </c>
    </row>
    <row r="30" spans="1:27" x14ac:dyDescent="0.25">
      <c r="A30" s="2" t="s">
        <v>27</v>
      </c>
      <c r="B30" s="2" t="s">
        <v>285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32</v>
      </c>
      <c r="H30" s="2" t="s">
        <v>33</v>
      </c>
      <c r="I30" s="2" t="s">
        <v>34</v>
      </c>
      <c r="J30" s="3">
        <v>2776035.44</v>
      </c>
      <c r="K30" s="2" t="s">
        <v>35</v>
      </c>
      <c r="L30" s="3">
        <v>2776035.44</v>
      </c>
      <c r="M30" s="2" t="s">
        <v>35</v>
      </c>
      <c r="N30" s="3">
        <v>2782295.31</v>
      </c>
      <c r="O30" s="2" t="s">
        <v>36</v>
      </c>
      <c r="P30" s="3">
        <v>2782295.31</v>
      </c>
      <c r="Q30" s="2" t="s">
        <v>36</v>
      </c>
      <c r="R30" s="2" t="s">
        <v>113</v>
      </c>
      <c r="S30" s="2" t="s">
        <v>114</v>
      </c>
      <c r="T30" s="2" t="s">
        <v>39</v>
      </c>
      <c r="U30" s="2" t="s">
        <v>40</v>
      </c>
      <c r="V30" s="2" t="s">
        <v>101</v>
      </c>
      <c r="W30" s="3">
        <v>5051.0200000000004</v>
      </c>
      <c r="X30" s="4"/>
      <c r="Y30" s="3">
        <v>2030471.39</v>
      </c>
      <c r="Z30" s="2" t="s">
        <v>38</v>
      </c>
      <c r="AA30" s="2" t="s">
        <v>101</v>
      </c>
    </row>
    <row r="31" spans="1:27" x14ac:dyDescent="0.25">
      <c r="A31" s="2" t="s">
        <v>27</v>
      </c>
      <c r="B31" s="2" t="s">
        <v>285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32</v>
      </c>
      <c r="H31" s="2" t="s">
        <v>33</v>
      </c>
      <c r="I31" s="2" t="s">
        <v>34</v>
      </c>
      <c r="J31" s="3">
        <v>2776035.44</v>
      </c>
      <c r="K31" s="2" t="s">
        <v>35</v>
      </c>
      <c r="L31" s="3">
        <v>2776035.44</v>
      </c>
      <c r="M31" s="2" t="s">
        <v>35</v>
      </c>
      <c r="N31" s="3">
        <v>2782295.31</v>
      </c>
      <c r="O31" s="2" t="s">
        <v>36</v>
      </c>
      <c r="P31" s="3">
        <v>2782295.31</v>
      </c>
      <c r="Q31" s="2" t="s">
        <v>36</v>
      </c>
      <c r="R31" s="2" t="s">
        <v>115</v>
      </c>
      <c r="S31" s="2" t="s">
        <v>116</v>
      </c>
      <c r="T31" s="2" t="s">
        <v>39</v>
      </c>
      <c r="U31" s="2" t="s">
        <v>40</v>
      </c>
      <c r="V31" s="2" t="s">
        <v>101</v>
      </c>
      <c r="W31" s="3">
        <v>185</v>
      </c>
      <c r="X31" s="4"/>
      <c r="Y31" s="3">
        <v>2025420.37</v>
      </c>
      <c r="Z31" s="2" t="s">
        <v>38</v>
      </c>
      <c r="AA31" s="2" t="s">
        <v>101</v>
      </c>
    </row>
    <row r="32" spans="1:27" x14ac:dyDescent="0.25">
      <c r="A32" s="2" t="s">
        <v>27</v>
      </c>
      <c r="B32" s="2" t="s">
        <v>285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33</v>
      </c>
      <c r="I32" s="2" t="s">
        <v>34</v>
      </c>
      <c r="J32" s="3">
        <v>2776035.44</v>
      </c>
      <c r="K32" s="2" t="s">
        <v>35</v>
      </c>
      <c r="L32" s="3">
        <v>2776035.44</v>
      </c>
      <c r="M32" s="2" t="s">
        <v>35</v>
      </c>
      <c r="N32" s="3">
        <v>2782295.31</v>
      </c>
      <c r="O32" s="2" t="s">
        <v>36</v>
      </c>
      <c r="P32" s="3">
        <v>2782295.31</v>
      </c>
      <c r="Q32" s="2" t="s">
        <v>36</v>
      </c>
      <c r="R32" s="2" t="s">
        <v>117</v>
      </c>
      <c r="S32" s="2" t="s">
        <v>118</v>
      </c>
      <c r="T32" s="2" t="s">
        <v>39</v>
      </c>
      <c r="U32" s="2" t="s">
        <v>40</v>
      </c>
      <c r="V32" s="2" t="s">
        <v>101</v>
      </c>
      <c r="W32" s="3">
        <v>5010</v>
      </c>
      <c r="X32" s="4"/>
      <c r="Y32" s="3">
        <v>2025235.37</v>
      </c>
      <c r="Z32" s="2" t="s">
        <v>38</v>
      </c>
      <c r="AA32" s="2" t="s">
        <v>101</v>
      </c>
    </row>
    <row r="33" spans="1:27" x14ac:dyDescent="0.25">
      <c r="A33" s="2" t="s">
        <v>27</v>
      </c>
      <c r="B33" s="2" t="s">
        <v>285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32</v>
      </c>
      <c r="H33" s="2" t="s">
        <v>33</v>
      </c>
      <c r="I33" s="2" t="s">
        <v>34</v>
      </c>
      <c r="J33" s="3">
        <v>2776035.44</v>
      </c>
      <c r="K33" s="2" t="s">
        <v>35</v>
      </c>
      <c r="L33" s="3">
        <v>2776035.44</v>
      </c>
      <c r="M33" s="2" t="s">
        <v>35</v>
      </c>
      <c r="N33" s="3">
        <v>2782295.31</v>
      </c>
      <c r="O33" s="2" t="s">
        <v>36</v>
      </c>
      <c r="P33" s="3">
        <v>2782295.31</v>
      </c>
      <c r="Q33" s="2" t="s">
        <v>36</v>
      </c>
      <c r="R33" s="2" t="s">
        <v>119</v>
      </c>
      <c r="S33" s="2" t="s">
        <v>120</v>
      </c>
      <c r="T33" s="2" t="s">
        <v>39</v>
      </c>
      <c r="U33" s="2" t="s">
        <v>40</v>
      </c>
      <c r="V33" s="2" t="s">
        <v>101</v>
      </c>
      <c r="W33" s="3">
        <v>6389.28</v>
      </c>
      <c r="X33" s="4"/>
      <c r="Y33" s="3">
        <v>2020225.37</v>
      </c>
      <c r="Z33" s="2" t="s">
        <v>38</v>
      </c>
      <c r="AA33" s="2" t="s">
        <v>101</v>
      </c>
    </row>
    <row r="34" spans="1:27" x14ac:dyDescent="0.25">
      <c r="A34" s="2" t="s">
        <v>27</v>
      </c>
      <c r="B34" s="2" t="s">
        <v>285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32</v>
      </c>
      <c r="H34" s="2" t="s">
        <v>33</v>
      </c>
      <c r="I34" s="2" t="s">
        <v>34</v>
      </c>
      <c r="J34" s="3">
        <v>2776035.44</v>
      </c>
      <c r="K34" s="2" t="s">
        <v>35</v>
      </c>
      <c r="L34" s="3">
        <v>2776035.44</v>
      </c>
      <c r="M34" s="2" t="s">
        <v>35</v>
      </c>
      <c r="N34" s="3">
        <v>2782295.31</v>
      </c>
      <c r="O34" s="2" t="s">
        <v>36</v>
      </c>
      <c r="P34" s="3">
        <v>2782295.31</v>
      </c>
      <c r="Q34" s="2" t="s">
        <v>36</v>
      </c>
      <c r="R34" s="2" t="s">
        <v>121</v>
      </c>
      <c r="S34" s="2" t="s">
        <v>122</v>
      </c>
      <c r="T34" s="2" t="s">
        <v>39</v>
      </c>
      <c r="U34" s="2" t="s">
        <v>40</v>
      </c>
      <c r="V34" s="2" t="s">
        <v>101</v>
      </c>
      <c r="W34" s="3">
        <v>9871.42</v>
      </c>
      <c r="X34" s="4"/>
      <c r="Y34" s="3">
        <v>2013836.09</v>
      </c>
      <c r="Z34" s="2" t="s">
        <v>38</v>
      </c>
      <c r="AA34" s="2" t="s">
        <v>101</v>
      </c>
    </row>
    <row r="35" spans="1:27" x14ac:dyDescent="0.25">
      <c r="A35" s="2" t="s">
        <v>27</v>
      </c>
      <c r="B35" s="2" t="s">
        <v>285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32</v>
      </c>
      <c r="H35" s="2" t="s">
        <v>33</v>
      </c>
      <c r="I35" s="2" t="s">
        <v>34</v>
      </c>
      <c r="J35" s="3">
        <v>2776035.44</v>
      </c>
      <c r="K35" s="2" t="s">
        <v>35</v>
      </c>
      <c r="L35" s="3">
        <v>2776035.44</v>
      </c>
      <c r="M35" s="2" t="s">
        <v>35</v>
      </c>
      <c r="N35" s="3">
        <v>2782295.31</v>
      </c>
      <c r="O35" s="2" t="s">
        <v>36</v>
      </c>
      <c r="P35" s="3">
        <v>2782295.31</v>
      </c>
      <c r="Q35" s="2" t="s">
        <v>36</v>
      </c>
      <c r="R35" s="2" t="s">
        <v>123</v>
      </c>
      <c r="S35" s="2" t="s">
        <v>124</v>
      </c>
      <c r="T35" s="2" t="s">
        <v>39</v>
      </c>
      <c r="U35" s="2" t="s">
        <v>40</v>
      </c>
      <c r="V35" s="2" t="s">
        <v>101</v>
      </c>
      <c r="W35" s="3">
        <v>8894.86</v>
      </c>
      <c r="X35" s="4"/>
      <c r="Y35" s="3">
        <v>2003964.67</v>
      </c>
      <c r="Z35" s="2" t="s">
        <v>38</v>
      </c>
      <c r="AA35" s="2" t="s">
        <v>101</v>
      </c>
    </row>
    <row r="36" spans="1:27" x14ac:dyDescent="0.25">
      <c r="A36" s="2" t="s">
        <v>27</v>
      </c>
      <c r="B36" s="2" t="s">
        <v>285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3">
        <v>2776035.44</v>
      </c>
      <c r="K36" s="2" t="s">
        <v>35</v>
      </c>
      <c r="L36" s="3">
        <v>2776035.44</v>
      </c>
      <c r="M36" s="2" t="s">
        <v>35</v>
      </c>
      <c r="N36" s="3">
        <v>2782295.31</v>
      </c>
      <c r="O36" s="2" t="s">
        <v>36</v>
      </c>
      <c r="P36" s="3">
        <v>2782295.31</v>
      </c>
      <c r="Q36" s="2" t="s">
        <v>36</v>
      </c>
      <c r="R36" s="2" t="s">
        <v>125</v>
      </c>
      <c r="S36" s="2" t="s">
        <v>126</v>
      </c>
      <c r="T36" s="2" t="s">
        <v>41</v>
      </c>
      <c r="U36" s="2" t="s">
        <v>42</v>
      </c>
      <c r="V36" s="2" t="s">
        <v>101</v>
      </c>
      <c r="W36" s="3">
        <v>1133.8900000000001</v>
      </c>
      <c r="X36" s="4"/>
      <c r="Y36" s="3">
        <v>1995069.81</v>
      </c>
      <c r="Z36" s="2" t="s">
        <v>38</v>
      </c>
      <c r="AA36" s="2" t="s">
        <v>101</v>
      </c>
    </row>
    <row r="37" spans="1:27" x14ac:dyDescent="0.25">
      <c r="A37" s="2" t="s">
        <v>27</v>
      </c>
      <c r="B37" s="2" t="s">
        <v>285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32</v>
      </c>
      <c r="H37" s="2" t="s">
        <v>33</v>
      </c>
      <c r="I37" s="2" t="s">
        <v>34</v>
      </c>
      <c r="J37" s="3">
        <v>2776035.44</v>
      </c>
      <c r="K37" s="2" t="s">
        <v>35</v>
      </c>
      <c r="L37" s="3">
        <v>2776035.44</v>
      </c>
      <c r="M37" s="2" t="s">
        <v>35</v>
      </c>
      <c r="N37" s="3">
        <v>2782295.31</v>
      </c>
      <c r="O37" s="2" t="s">
        <v>36</v>
      </c>
      <c r="P37" s="3">
        <v>2782295.31</v>
      </c>
      <c r="Q37" s="2" t="s">
        <v>36</v>
      </c>
      <c r="R37" s="2" t="s">
        <v>127</v>
      </c>
      <c r="S37" s="2" t="s">
        <v>128</v>
      </c>
      <c r="T37" s="2" t="s">
        <v>39</v>
      </c>
      <c r="U37" s="2" t="s">
        <v>40</v>
      </c>
      <c r="V37" s="2" t="s">
        <v>129</v>
      </c>
      <c r="W37" s="3">
        <v>19224</v>
      </c>
      <c r="X37" s="4"/>
      <c r="Y37" s="3">
        <v>1993935.92</v>
      </c>
      <c r="Z37" s="2" t="s">
        <v>38</v>
      </c>
      <c r="AA37" s="2" t="s">
        <v>129</v>
      </c>
    </row>
    <row r="38" spans="1:27" x14ac:dyDescent="0.25">
      <c r="A38" s="2" t="s">
        <v>27</v>
      </c>
      <c r="B38" s="2" t="s">
        <v>285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32</v>
      </c>
      <c r="H38" s="2" t="s">
        <v>33</v>
      </c>
      <c r="I38" s="2" t="s">
        <v>34</v>
      </c>
      <c r="J38" s="3">
        <v>2776035.44</v>
      </c>
      <c r="K38" s="2" t="s">
        <v>35</v>
      </c>
      <c r="L38" s="3">
        <v>2776035.44</v>
      </c>
      <c r="M38" s="2" t="s">
        <v>35</v>
      </c>
      <c r="N38" s="3">
        <v>2782295.31</v>
      </c>
      <c r="O38" s="2" t="s">
        <v>36</v>
      </c>
      <c r="P38" s="3">
        <v>2782295.31</v>
      </c>
      <c r="Q38" s="2" t="s">
        <v>36</v>
      </c>
      <c r="R38" s="2" t="s">
        <v>130</v>
      </c>
      <c r="S38" s="2" t="s">
        <v>131</v>
      </c>
      <c r="T38" s="2" t="s">
        <v>132</v>
      </c>
      <c r="U38" s="2" t="s">
        <v>40</v>
      </c>
      <c r="V38" s="2" t="s">
        <v>129</v>
      </c>
      <c r="W38" s="3">
        <v>4586.49</v>
      </c>
      <c r="X38" s="4"/>
      <c r="Y38" s="3">
        <v>1974711.92</v>
      </c>
      <c r="Z38" s="2" t="s">
        <v>38</v>
      </c>
      <c r="AA38" s="2" t="s">
        <v>129</v>
      </c>
    </row>
    <row r="39" spans="1:27" x14ac:dyDescent="0.25">
      <c r="A39" s="2" t="s">
        <v>27</v>
      </c>
      <c r="B39" s="2" t="s">
        <v>285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32</v>
      </c>
      <c r="H39" s="2" t="s">
        <v>33</v>
      </c>
      <c r="I39" s="2" t="s">
        <v>34</v>
      </c>
      <c r="J39" s="3">
        <v>2776035.44</v>
      </c>
      <c r="K39" s="2" t="s">
        <v>35</v>
      </c>
      <c r="L39" s="3">
        <v>2776035.44</v>
      </c>
      <c r="M39" s="2" t="s">
        <v>35</v>
      </c>
      <c r="N39" s="3">
        <v>2782295.31</v>
      </c>
      <c r="O39" s="2" t="s">
        <v>36</v>
      </c>
      <c r="P39" s="3">
        <v>2782295.31</v>
      </c>
      <c r="Q39" s="2" t="s">
        <v>36</v>
      </c>
      <c r="R39" s="2" t="s">
        <v>133</v>
      </c>
      <c r="S39" s="2" t="s">
        <v>134</v>
      </c>
      <c r="T39" s="2" t="s">
        <v>39</v>
      </c>
      <c r="U39" s="2" t="s">
        <v>40</v>
      </c>
      <c r="V39" s="2" t="s">
        <v>129</v>
      </c>
      <c r="W39" s="3">
        <v>17420.439999999999</v>
      </c>
      <c r="X39" s="4"/>
      <c r="Y39" s="3">
        <v>1970125.43</v>
      </c>
      <c r="Z39" s="2" t="s">
        <v>38</v>
      </c>
      <c r="AA39" s="2" t="s">
        <v>129</v>
      </c>
    </row>
    <row r="40" spans="1:27" x14ac:dyDescent="0.25">
      <c r="A40" s="2" t="s">
        <v>27</v>
      </c>
      <c r="B40" s="2" t="s">
        <v>285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32</v>
      </c>
      <c r="H40" s="2" t="s">
        <v>33</v>
      </c>
      <c r="I40" s="2" t="s">
        <v>34</v>
      </c>
      <c r="J40" s="3">
        <v>2776035.44</v>
      </c>
      <c r="K40" s="2" t="s">
        <v>35</v>
      </c>
      <c r="L40" s="3">
        <v>2776035.44</v>
      </c>
      <c r="M40" s="2" t="s">
        <v>35</v>
      </c>
      <c r="N40" s="3">
        <v>2782295.31</v>
      </c>
      <c r="O40" s="2" t="s">
        <v>36</v>
      </c>
      <c r="P40" s="3">
        <v>2782295.31</v>
      </c>
      <c r="Q40" s="2" t="s">
        <v>36</v>
      </c>
      <c r="R40" s="2" t="s">
        <v>135</v>
      </c>
      <c r="S40" s="2" t="s">
        <v>136</v>
      </c>
      <c r="T40" s="2" t="s">
        <v>39</v>
      </c>
      <c r="U40" s="2" t="s">
        <v>40</v>
      </c>
      <c r="V40" s="2" t="s">
        <v>129</v>
      </c>
      <c r="W40" s="3">
        <v>3968.29</v>
      </c>
      <c r="X40" s="4"/>
      <c r="Y40" s="3">
        <v>1952704.99</v>
      </c>
      <c r="Z40" s="2" t="s">
        <v>38</v>
      </c>
      <c r="AA40" s="2" t="s">
        <v>129</v>
      </c>
    </row>
    <row r="41" spans="1:27" x14ac:dyDescent="0.25">
      <c r="A41" s="2" t="s">
        <v>27</v>
      </c>
      <c r="B41" s="2" t="s">
        <v>285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32</v>
      </c>
      <c r="H41" s="2" t="s">
        <v>33</v>
      </c>
      <c r="I41" s="2" t="s">
        <v>34</v>
      </c>
      <c r="J41" s="3">
        <v>2776035.44</v>
      </c>
      <c r="K41" s="2" t="s">
        <v>35</v>
      </c>
      <c r="L41" s="3">
        <v>2776035.44</v>
      </c>
      <c r="M41" s="2" t="s">
        <v>35</v>
      </c>
      <c r="N41" s="3">
        <v>2782295.31</v>
      </c>
      <c r="O41" s="2" t="s">
        <v>36</v>
      </c>
      <c r="P41" s="3">
        <v>2782295.31</v>
      </c>
      <c r="Q41" s="2" t="s">
        <v>36</v>
      </c>
      <c r="R41" s="2" t="s">
        <v>137</v>
      </c>
      <c r="S41" s="2" t="s">
        <v>138</v>
      </c>
      <c r="T41" s="2" t="s">
        <v>39</v>
      </c>
      <c r="U41" s="2" t="s">
        <v>40</v>
      </c>
      <c r="V41" s="2" t="s">
        <v>129</v>
      </c>
      <c r="W41" s="3">
        <v>17417</v>
      </c>
      <c r="X41" s="4"/>
      <c r="Y41" s="3">
        <v>1948736.7</v>
      </c>
      <c r="Z41" s="2" t="s">
        <v>38</v>
      </c>
      <c r="AA41" s="2" t="s">
        <v>129</v>
      </c>
    </row>
    <row r="42" spans="1:27" x14ac:dyDescent="0.25">
      <c r="A42" s="2" t="s">
        <v>27</v>
      </c>
      <c r="B42" s="2" t="s">
        <v>285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32</v>
      </c>
      <c r="H42" s="2" t="s">
        <v>33</v>
      </c>
      <c r="I42" s="2" t="s">
        <v>34</v>
      </c>
      <c r="J42" s="3">
        <v>2776035.44</v>
      </c>
      <c r="K42" s="2" t="s">
        <v>35</v>
      </c>
      <c r="L42" s="3">
        <v>2776035.44</v>
      </c>
      <c r="M42" s="2" t="s">
        <v>35</v>
      </c>
      <c r="N42" s="3">
        <v>2782295.31</v>
      </c>
      <c r="O42" s="2" t="s">
        <v>36</v>
      </c>
      <c r="P42" s="3">
        <v>2782295.31</v>
      </c>
      <c r="Q42" s="2" t="s">
        <v>36</v>
      </c>
      <c r="R42" s="2" t="s">
        <v>139</v>
      </c>
      <c r="S42" s="2" t="s">
        <v>140</v>
      </c>
      <c r="T42" s="2" t="s">
        <v>39</v>
      </c>
      <c r="U42" s="2" t="s">
        <v>40</v>
      </c>
      <c r="V42" s="2" t="s">
        <v>129</v>
      </c>
      <c r="W42" s="3">
        <v>12564.28</v>
      </c>
      <c r="X42" s="4"/>
      <c r="Y42" s="3">
        <v>1931319.7</v>
      </c>
      <c r="Z42" s="2" t="s">
        <v>38</v>
      </c>
      <c r="AA42" s="2" t="s">
        <v>129</v>
      </c>
    </row>
    <row r="43" spans="1:27" x14ac:dyDescent="0.25">
      <c r="A43" s="2" t="s">
        <v>27</v>
      </c>
      <c r="B43" s="2" t="s">
        <v>285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32</v>
      </c>
      <c r="H43" s="2" t="s">
        <v>33</v>
      </c>
      <c r="I43" s="2" t="s">
        <v>34</v>
      </c>
      <c r="J43" s="3">
        <v>2776035.44</v>
      </c>
      <c r="K43" s="2" t="s">
        <v>35</v>
      </c>
      <c r="L43" s="3">
        <v>2776035.44</v>
      </c>
      <c r="M43" s="2" t="s">
        <v>35</v>
      </c>
      <c r="N43" s="3">
        <v>2782295.31</v>
      </c>
      <c r="O43" s="2" t="s">
        <v>36</v>
      </c>
      <c r="P43" s="3">
        <v>2782295.31</v>
      </c>
      <c r="Q43" s="2" t="s">
        <v>36</v>
      </c>
      <c r="R43" s="2" t="s">
        <v>141</v>
      </c>
      <c r="S43" s="2" t="s">
        <v>142</v>
      </c>
      <c r="T43" s="2" t="s">
        <v>41</v>
      </c>
      <c r="U43" s="2" t="s">
        <v>42</v>
      </c>
      <c r="V43" s="2" t="s">
        <v>129</v>
      </c>
      <c r="W43" s="3">
        <v>1341.83</v>
      </c>
      <c r="X43" s="4"/>
      <c r="Y43" s="3">
        <v>1918755.42</v>
      </c>
      <c r="Z43" s="2" t="s">
        <v>38</v>
      </c>
      <c r="AA43" s="2" t="s">
        <v>129</v>
      </c>
    </row>
    <row r="44" spans="1:27" x14ac:dyDescent="0.25">
      <c r="A44" s="2" t="s">
        <v>27</v>
      </c>
      <c r="B44" s="2" t="s">
        <v>285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32</v>
      </c>
      <c r="H44" s="2" t="s">
        <v>33</v>
      </c>
      <c r="I44" s="2" t="s">
        <v>34</v>
      </c>
      <c r="J44" s="3">
        <v>2776035.44</v>
      </c>
      <c r="K44" s="2" t="s">
        <v>35</v>
      </c>
      <c r="L44" s="3">
        <v>2776035.44</v>
      </c>
      <c r="M44" s="2" t="s">
        <v>35</v>
      </c>
      <c r="N44" s="3">
        <v>2782295.31</v>
      </c>
      <c r="O44" s="2" t="s">
        <v>36</v>
      </c>
      <c r="P44" s="3">
        <v>2782295.31</v>
      </c>
      <c r="Q44" s="2" t="s">
        <v>36</v>
      </c>
      <c r="R44" s="2" t="s">
        <v>143</v>
      </c>
      <c r="S44" s="2" t="s">
        <v>144</v>
      </c>
      <c r="T44" s="2" t="s">
        <v>41</v>
      </c>
      <c r="U44" s="2" t="s">
        <v>42</v>
      </c>
      <c r="V44" s="2" t="s">
        <v>129</v>
      </c>
      <c r="W44" s="3">
        <v>7007.39</v>
      </c>
      <c r="X44" s="4"/>
      <c r="Y44" s="3">
        <v>1917413.59</v>
      </c>
      <c r="Z44" s="2" t="s">
        <v>38</v>
      </c>
      <c r="AA44" s="2" t="s">
        <v>129</v>
      </c>
    </row>
    <row r="45" spans="1:27" x14ac:dyDescent="0.25">
      <c r="A45" s="2" t="s">
        <v>27</v>
      </c>
      <c r="B45" s="2" t="s">
        <v>285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32</v>
      </c>
      <c r="H45" s="2" t="s">
        <v>33</v>
      </c>
      <c r="I45" s="2" t="s">
        <v>34</v>
      </c>
      <c r="J45" s="3">
        <v>2776035.44</v>
      </c>
      <c r="K45" s="2" t="s">
        <v>35</v>
      </c>
      <c r="L45" s="3">
        <v>2776035.44</v>
      </c>
      <c r="M45" s="2" t="s">
        <v>35</v>
      </c>
      <c r="N45" s="3">
        <v>2782295.31</v>
      </c>
      <c r="O45" s="2" t="s">
        <v>36</v>
      </c>
      <c r="P45" s="3">
        <v>2782295.31</v>
      </c>
      <c r="Q45" s="2" t="s">
        <v>36</v>
      </c>
      <c r="R45" s="2" t="s">
        <v>145</v>
      </c>
      <c r="S45" s="2" t="s">
        <v>146</v>
      </c>
      <c r="T45" s="2" t="s">
        <v>41</v>
      </c>
      <c r="U45" s="2" t="s">
        <v>42</v>
      </c>
      <c r="V45" s="2" t="s">
        <v>129</v>
      </c>
      <c r="W45" s="3">
        <v>2290.69</v>
      </c>
      <c r="X45" s="4"/>
      <c r="Y45" s="3">
        <v>1910406.2</v>
      </c>
      <c r="Z45" s="2" t="s">
        <v>38</v>
      </c>
      <c r="AA45" s="2" t="s">
        <v>129</v>
      </c>
    </row>
    <row r="46" spans="1:27" x14ac:dyDescent="0.25">
      <c r="A46" s="2" t="s">
        <v>27</v>
      </c>
      <c r="B46" s="2" t="s">
        <v>285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32</v>
      </c>
      <c r="H46" s="2" t="s">
        <v>33</v>
      </c>
      <c r="I46" s="2" t="s">
        <v>34</v>
      </c>
      <c r="J46" s="3">
        <v>2776035.44</v>
      </c>
      <c r="K46" s="2" t="s">
        <v>35</v>
      </c>
      <c r="L46" s="3">
        <v>2776035.44</v>
      </c>
      <c r="M46" s="2" t="s">
        <v>35</v>
      </c>
      <c r="N46" s="3">
        <v>2782295.31</v>
      </c>
      <c r="O46" s="2" t="s">
        <v>36</v>
      </c>
      <c r="P46" s="3">
        <v>2782295.31</v>
      </c>
      <c r="Q46" s="2" t="s">
        <v>36</v>
      </c>
      <c r="R46" s="2" t="s">
        <v>147</v>
      </c>
      <c r="S46" s="2" t="s">
        <v>148</v>
      </c>
      <c r="T46" s="2" t="s">
        <v>149</v>
      </c>
      <c r="U46" s="2" t="s">
        <v>57</v>
      </c>
      <c r="V46" s="2" t="s">
        <v>150</v>
      </c>
      <c r="W46" s="3">
        <v>4273.87</v>
      </c>
      <c r="X46" s="4"/>
      <c r="Y46" s="3">
        <v>1908115.51</v>
      </c>
      <c r="Z46" s="2" t="s">
        <v>38</v>
      </c>
      <c r="AA46" s="2" t="s">
        <v>150</v>
      </c>
    </row>
    <row r="47" spans="1:27" x14ac:dyDescent="0.25">
      <c r="A47" s="2" t="s">
        <v>27</v>
      </c>
      <c r="B47" s="2" t="s">
        <v>285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32</v>
      </c>
      <c r="H47" s="2" t="s">
        <v>33</v>
      </c>
      <c r="I47" s="2" t="s">
        <v>34</v>
      </c>
      <c r="J47" s="3">
        <v>2776035.44</v>
      </c>
      <c r="K47" s="2" t="s">
        <v>35</v>
      </c>
      <c r="L47" s="3">
        <v>2776035.44</v>
      </c>
      <c r="M47" s="2" t="s">
        <v>35</v>
      </c>
      <c r="N47" s="3">
        <v>2782295.31</v>
      </c>
      <c r="O47" s="2" t="s">
        <v>36</v>
      </c>
      <c r="P47" s="3">
        <v>2782295.31</v>
      </c>
      <c r="Q47" s="2" t="s">
        <v>36</v>
      </c>
      <c r="R47" s="2" t="s">
        <v>151</v>
      </c>
      <c r="S47" s="2" t="s">
        <v>152</v>
      </c>
      <c r="T47" s="2" t="s">
        <v>153</v>
      </c>
      <c r="U47" s="2" t="s">
        <v>57</v>
      </c>
      <c r="V47" s="2" t="s">
        <v>150</v>
      </c>
      <c r="W47" s="3">
        <v>73.03</v>
      </c>
      <c r="X47" s="4"/>
      <c r="Y47" s="3">
        <v>1903841.64</v>
      </c>
      <c r="Z47" s="2" t="s">
        <v>38</v>
      </c>
      <c r="AA47" s="2" t="s">
        <v>150</v>
      </c>
    </row>
    <row r="48" spans="1:27" x14ac:dyDescent="0.25">
      <c r="A48" s="2" t="s">
        <v>27</v>
      </c>
      <c r="B48" s="2" t="s">
        <v>285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32</v>
      </c>
      <c r="H48" s="2" t="s">
        <v>33</v>
      </c>
      <c r="I48" s="2" t="s">
        <v>34</v>
      </c>
      <c r="J48" s="3">
        <v>2776035.44</v>
      </c>
      <c r="K48" s="2" t="s">
        <v>35</v>
      </c>
      <c r="L48" s="3">
        <v>2776035.44</v>
      </c>
      <c r="M48" s="2" t="s">
        <v>35</v>
      </c>
      <c r="N48" s="3">
        <v>2782295.31</v>
      </c>
      <c r="O48" s="2" t="s">
        <v>36</v>
      </c>
      <c r="P48" s="3">
        <v>2782295.31</v>
      </c>
      <c r="Q48" s="2" t="s">
        <v>36</v>
      </c>
      <c r="R48" s="2" t="s">
        <v>154</v>
      </c>
      <c r="S48" s="2" t="s">
        <v>155</v>
      </c>
      <c r="T48" s="2" t="s">
        <v>39</v>
      </c>
      <c r="U48" s="2" t="s">
        <v>40</v>
      </c>
      <c r="V48" s="2" t="s">
        <v>150</v>
      </c>
      <c r="W48" s="3">
        <v>11733.43</v>
      </c>
      <c r="X48" s="4"/>
      <c r="Y48" s="3">
        <v>1903768.61</v>
      </c>
      <c r="Z48" s="2" t="s">
        <v>38</v>
      </c>
      <c r="AA48" s="2" t="s">
        <v>150</v>
      </c>
    </row>
    <row r="49" spans="1:27" x14ac:dyDescent="0.25">
      <c r="A49" s="2" t="s">
        <v>27</v>
      </c>
      <c r="B49" s="2" t="s">
        <v>285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32</v>
      </c>
      <c r="H49" s="2" t="s">
        <v>33</v>
      </c>
      <c r="I49" s="2" t="s">
        <v>34</v>
      </c>
      <c r="J49" s="3">
        <v>2776035.44</v>
      </c>
      <c r="K49" s="2" t="s">
        <v>35</v>
      </c>
      <c r="L49" s="3">
        <v>2776035.44</v>
      </c>
      <c r="M49" s="2" t="s">
        <v>35</v>
      </c>
      <c r="N49" s="3">
        <v>2782295.31</v>
      </c>
      <c r="O49" s="2" t="s">
        <v>36</v>
      </c>
      <c r="P49" s="3">
        <v>2782295.31</v>
      </c>
      <c r="Q49" s="2" t="s">
        <v>36</v>
      </c>
      <c r="R49" s="2" t="s">
        <v>156</v>
      </c>
      <c r="S49" s="2" t="s">
        <v>157</v>
      </c>
      <c r="T49" s="2" t="s">
        <v>41</v>
      </c>
      <c r="U49" s="2" t="s">
        <v>42</v>
      </c>
      <c r="V49" s="2" t="s">
        <v>150</v>
      </c>
      <c r="W49" s="3">
        <v>2240.75</v>
      </c>
      <c r="X49" s="4"/>
      <c r="Y49" s="3">
        <v>1892035.18</v>
      </c>
      <c r="Z49" s="2" t="s">
        <v>38</v>
      </c>
      <c r="AA49" s="2" t="s">
        <v>150</v>
      </c>
    </row>
    <row r="50" spans="1:27" x14ac:dyDescent="0.25">
      <c r="A50" s="2" t="s">
        <v>27</v>
      </c>
      <c r="B50" s="2" t="s">
        <v>285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32</v>
      </c>
      <c r="H50" s="2" t="s">
        <v>33</v>
      </c>
      <c r="I50" s="2" t="s">
        <v>34</v>
      </c>
      <c r="J50" s="3">
        <v>2776035.44</v>
      </c>
      <c r="K50" s="2" t="s">
        <v>35</v>
      </c>
      <c r="L50" s="3">
        <v>2776035.44</v>
      </c>
      <c r="M50" s="2" t="s">
        <v>35</v>
      </c>
      <c r="N50" s="3">
        <v>2782295.31</v>
      </c>
      <c r="O50" s="2" t="s">
        <v>36</v>
      </c>
      <c r="P50" s="3">
        <v>2782295.31</v>
      </c>
      <c r="Q50" s="2" t="s">
        <v>36</v>
      </c>
      <c r="R50" s="2" t="s">
        <v>158</v>
      </c>
      <c r="S50" s="2" t="s">
        <v>159</v>
      </c>
      <c r="T50" s="2" t="s">
        <v>160</v>
      </c>
      <c r="U50" s="2" t="s">
        <v>37</v>
      </c>
      <c r="V50" s="2" t="s">
        <v>161</v>
      </c>
      <c r="W50" s="3">
        <v>1929.74</v>
      </c>
      <c r="X50" s="4"/>
      <c r="Y50" s="3">
        <v>1889794.43</v>
      </c>
      <c r="Z50" s="2" t="s">
        <v>38</v>
      </c>
      <c r="AA50" s="2" t="s">
        <v>161</v>
      </c>
    </row>
    <row r="51" spans="1:27" x14ac:dyDescent="0.25">
      <c r="A51" s="2" t="s">
        <v>27</v>
      </c>
      <c r="B51" s="2" t="s">
        <v>285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32</v>
      </c>
      <c r="H51" s="2" t="s">
        <v>33</v>
      </c>
      <c r="I51" s="2" t="s">
        <v>34</v>
      </c>
      <c r="J51" s="3">
        <v>2776035.44</v>
      </c>
      <c r="K51" s="2" t="s">
        <v>35</v>
      </c>
      <c r="L51" s="3">
        <v>2776035.44</v>
      </c>
      <c r="M51" s="2" t="s">
        <v>35</v>
      </c>
      <c r="N51" s="3">
        <v>2782295.31</v>
      </c>
      <c r="O51" s="2" t="s">
        <v>36</v>
      </c>
      <c r="P51" s="3">
        <v>2782295.31</v>
      </c>
      <c r="Q51" s="2" t="s">
        <v>36</v>
      </c>
      <c r="R51" s="2" t="s">
        <v>162</v>
      </c>
      <c r="S51" s="2" t="s">
        <v>163</v>
      </c>
      <c r="T51" s="2" t="s">
        <v>39</v>
      </c>
      <c r="U51" s="2" t="s">
        <v>40</v>
      </c>
      <c r="V51" s="2" t="s">
        <v>161</v>
      </c>
      <c r="W51" s="3">
        <v>8432.16</v>
      </c>
      <c r="X51" s="4"/>
      <c r="Y51" s="3">
        <v>1887864.69</v>
      </c>
      <c r="Z51" s="2" t="s">
        <v>38</v>
      </c>
      <c r="AA51" s="2" t="s">
        <v>161</v>
      </c>
    </row>
    <row r="52" spans="1:27" x14ac:dyDescent="0.25">
      <c r="A52" s="2" t="s">
        <v>27</v>
      </c>
      <c r="B52" s="2" t="s">
        <v>285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32</v>
      </c>
      <c r="H52" s="2" t="s">
        <v>33</v>
      </c>
      <c r="I52" s="2" t="s">
        <v>34</v>
      </c>
      <c r="J52" s="3">
        <v>2776035.44</v>
      </c>
      <c r="K52" s="2" t="s">
        <v>35</v>
      </c>
      <c r="L52" s="3">
        <v>2776035.44</v>
      </c>
      <c r="M52" s="2" t="s">
        <v>35</v>
      </c>
      <c r="N52" s="3">
        <v>2782295.31</v>
      </c>
      <c r="O52" s="2" t="s">
        <v>36</v>
      </c>
      <c r="P52" s="3">
        <v>2782295.31</v>
      </c>
      <c r="Q52" s="2" t="s">
        <v>36</v>
      </c>
      <c r="R52" s="2" t="s">
        <v>164</v>
      </c>
      <c r="S52" s="2" t="s">
        <v>165</v>
      </c>
      <c r="T52" s="2" t="s">
        <v>166</v>
      </c>
      <c r="U52" s="2" t="s">
        <v>42</v>
      </c>
      <c r="V52" s="2" t="s">
        <v>161</v>
      </c>
      <c r="W52" s="3">
        <v>1855.42</v>
      </c>
      <c r="X52" s="4"/>
      <c r="Y52" s="3">
        <v>1879432.53</v>
      </c>
      <c r="Z52" s="2" t="s">
        <v>38</v>
      </c>
      <c r="AA52" s="2" t="s">
        <v>161</v>
      </c>
    </row>
    <row r="53" spans="1:27" x14ac:dyDescent="0.25">
      <c r="A53" s="2" t="s">
        <v>27</v>
      </c>
      <c r="B53" s="2" t="s">
        <v>285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32</v>
      </c>
      <c r="H53" s="2" t="s">
        <v>33</v>
      </c>
      <c r="I53" s="2" t="s">
        <v>34</v>
      </c>
      <c r="J53" s="3">
        <v>2776035.44</v>
      </c>
      <c r="K53" s="2" t="s">
        <v>35</v>
      </c>
      <c r="L53" s="3">
        <v>2776035.44</v>
      </c>
      <c r="M53" s="2" t="s">
        <v>35</v>
      </c>
      <c r="N53" s="3">
        <v>2782295.31</v>
      </c>
      <c r="O53" s="2" t="s">
        <v>36</v>
      </c>
      <c r="P53" s="3">
        <v>2782295.31</v>
      </c>
      <c r="Q53" s="2" t="s">
        <v>36</v>
      </c>
      <c r="R53" s="2" t="s">
        <v>167</v>
      </c>
      <c r="S53" s="2" t="s">
        <v>168</v>
      </c>
      <c r="T53" s="2" t="s">
        <v>41</v>
      </c>
      <c r="U53" s="2" t="s">
        <v>42</v>
      </c>
      <c r="V53" s="2" t="s">
        <v>161</v>
      </c>
      <c r="W53" s="3">
        <v>1186.9100000000001</v>
      </c>
      <c r="X53" s="4"/>
      <c r="Y53" s="3">
        <v>1877577.11</v>
      </c>
      <c r="Z53" s="2" t="s">
        <v>38</v>
      </c>
      <c r="AA53" s="2" t="s">
        <v>161</v>
      </c>
    </row>
    <row r="54" spans="1:27" x14ac:dyDescent="0.25">
      <c r="A54" s="2" t="s">
        <v>27</v>
      </c>
      <c r="B54" s="2" t="s">
        <v>285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32</v>
      </c>
      <c r="H54" s="2" t="s">
        <v>33</v>
      </c>
      <c r="I54" s="2" t="s">
        <v>34</v>
      </c>
      <c r="J54" s="3">
        <v>2776035.44</v>
      </c>
      <c r="K54" s="2" t="s">
        <v>35</v>
      </c>
      <c r="L54" s="3">
        <v>2776035.44</v>
      </c>
      <c r="M54" s="2" t="s">
        <v>35</v>
      </c>
      <c r="N54" s="3">
        <v>2782295.31</v>
      </c>
      <c r="O54" s="2" t="s">
        <v>36</v>
      </c>
      <c r="P54" s="3">
        <v>2782295.31</v>
      </c>
      <c r="Q54" s="2" t="s">
        <v>36</v>
      </c>
      <c r="R54" s="2" t="s">
        <v>169</v>
      </c>
      <c r="S54" s="2" t="s">
        <v>170</v>
      </c>
      <c r="T54" s="2" t="s">
        <v>171</v>
      </c>
      <c r="U54" s="2" t="s">
        <v>37</v>
      </c>
      <c r="V54" s="2" t="s">
        <v>172</v>
      </c>
      <c r="W54" s="3">
        <v>21763.08</v>
      </c>
      <c r="X54" s="4"/>
      <c r="Y54" s="3">
        <v>1876390.2</v>
      </c>
      <c r="Z54" s="2" t="s">
        <v>38</v>
      </c>
      <c r="AA54" s="2" t="s">
        <v>172</v>
      </c>
    </row>
    <row r="55" spans="1:27" x14ac:dyDescent="0.25">
      <c r="A55" s="2" t="s">
        <v>27</v>
      </c>
      <c r="B55" s="2" t="s">
        <v>285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32</v>
      </c>
      <c r="H55" s="2" t="s">
        <v>33</v>
      </c>
      <c r="I55" s="2" t="s">
        <v>34</v>
      </c>
      <c r="J55" s="3">
        <v>2776035.44</v>
      </c>
      <c r="K55" s="2" t="s">
        <v>35</v>
      </c>
      <c r="L55" s="3">
        <v>2776035.44</v>
      </c>
      <c r="M55" s="2" t="s">
        <v>35</v>
      </c>
      <c r="N55" s="3">
        <v>2782295.31</v>
      </c>
      <c r="O55" s="2" t="s">
        <v>36</v>
      </c>
      <c r="P55" s="3">
        <v>2782295.31</v>
      </c>
      <c r="Q55" s="2" t="s">
        <v>36</v>
      </c>
      <c r="R55" s="2" t="s">
        <v>173</v>
      </c>
      <c r="S55" s="2" t="s">
        <v>174</v>
      </c>
      <c r="T55" s="2" t="s">
        <v>175</v>
      </c>
      <c r="U55" s="2" t="s">
        <v>37</v>
      </c>
      <c r="V55" s="2" t="s">
        <v>172</v>
      </c>
      <c r="W55" s="3">
        <v>855.43</v>
      </c>
      <c r="X55" s="4"/>
      <c r="Y55" s="3">
        <v>1854627.12</v>
      </c>
      <c r="Z55" s="2" t="s">
        <v>38</v>
      </c>
      <c r="AA55" s="2" t="s">
        <v>172</v>
      </c>
    </row>
    <row r="56" spans="1:27" x14ac:dyDescent="0.25">
      <c r="A56" s="2" t="s">
        <v>27</v>
      </c>
      <c r="B56" s="2" t="s">
        <v>285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32</v>
      </c>
      <c r="H56" s="2" t="s">
        <v>33</v>
      </c>
      <c r="I56" s="2" t="s">
        <v>34</v>
      </c>
      <c r="J56" s="3">
        <v>2776035.44</v>
      </c>
      <c r="K56" s="2" t="s">
        <v>35</v>
      </c>
      <c r="L56" s="3">
        <v>2776035.44</v>
      </c>
      <c r="M56" s="2" t="s">
        <v>35</v>
      </c>
      <c r="N56" s="3">
        <v>2782295.31</v>
      </c>
      <c r="O56" s="2" t="s">
        <v>36</v>
      </c>
      <c r="P56" s="3">
        <v>2782295.31</v>
      </c>
      <c r="Q56" s="2" t="s">
        <v>36</v>
      </c>
      <c r="R56" s="2" t="s">
        <v>176</v>
      </c>
      <c r="S56" s="2" t="s">
        <v>177</v>
      </c>
      <c r="T56" s="2" t="s">
        <v>178</v>
      </c>
      <c r="U56" s="2" t="s">
        <v>37</v>
      </c>
      <c r="V56" s="2" t="s">
        <v>179</v>
      </c>
      <c r="W56" s="3">
        <v>3451</v>
      </c>
      <c r="X56" s="4"/>
      <c r="Y56" s="3">
        <v>1853771.69</v>
      </c>
      <c r="Z56" s="2" t="s">
        <v>38</v>
      </c>
      <c r="AA56" s="2" t="s">
        <v>179</v>
      </c>
    </row>
    <row r="57" spans="1:27" x14ac:dyDescent="0.25">
      <c r="A57" s="2" t="s">
        <v>27</v>
      </c>
      <c r="B57" s="2" t="s">
        <v>285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32</v>
      </c>
      <c r="H57" s="2" t="s">
        <v>33</v>
      </c>
      <c r="I57" s="2" t="s">
        <v>34</v>
      </c>
      <c r="J57" s="3">
        <v>2776035.44</v>
      </c>
      <c r="K57" s="2" t="s">
        <v>35</v>
      </c>
      <c r="L57" s="3">
        <v>2776035.44</v>
      </c>
      <c r="M57" s="2" t="s">
        <v>35</v>
      </c>
      <c r="N57" s="3">
        <v>2782295.31</v>
      </c>
      <c r="O57" s="2" t="s">
        <v>36</v>
      </c>
      <c r="P57" s="3">
        <v>2782295.31</v>
      </c>
      <c r="Q57" s="2" t="s">
        <v>36</v>
      </c>
      <c r="R57" s="2" t="s">
        <v>180</v>
      </c>
      <c r="S57" s="2" t="s">
        <v>181</v>
      </c>
      <c r="T57" s="2" t="s">
        <v>182</v>
      </c>
      <c r="U57" s="2" t="s">
        <v>37</v>
      </c>
      <c r="V57" s="2" t="s">
        <v>179</v>
      </c>
      <c r="W57" s="3">
        <v>3139.34</v>
      </c>
      <c r="X57" s="4"/>
      <c r="Y57" s="3">
        <v>1850320.69</v>
      </c>
      <c r="Z57" s="2" t="s">
        <v>38</v>
      </c>
      <c r="AA57" s="2" t="s">
        <v>179</v>
      </c>
    </row>
    <row r="58" spans="1:27" x14ac:dyDescent="0.25">
      <c r="A58" s="2" t="s">
        <v>27</v>
      </c>
      <c r="B58" s="2" t="s">
        <v>285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32</v>
      </c>
      <c r="H58" s="2" t="s">
        <v>33</v>
      </c>
      <c r="I58" s="2" t="s">
        <v>34</v>
      </c>
      <c r="J58" s="3">
        <v>2776035.44</v>
      </c>
      <c r="K58" s="2" t="s">
        <v>35</v>
      </c>
      <c r="L58" s="3">
        <v>2776035.44</v>
      </c>
      <c r="M58" s="2" t="s">
        <v>35</v>
      </c>
      <c r="N58" s="3">
        <v>2782295.31</v>
      </c>
      <c r="O58" s="2" t="s">
        <v>36</v>
      </c>
      <c r="P58" s="3">
        <v>2782295.31</v>
      </c>
      <c r="Q58" s="2" t="s">
        <v>36</v>
      </c>
      <c r="R58" s="2" t="s">
        <v>183</v>
      </c>
      <c r="S58" s="2" t="s">
        <v>184</v>
      </c>
      <c r="T58" s="2" t="s">
        <v>185</v>
      </c>
      <c r="U58" s="2" t="s">
        <v>37</v>
      </c>
      <c r="V58" s="2" t="s">
        <v>186</v>
      </c>
      <c r="W58" s="3">
        <v>26.08</v>
      </c>
      <c r="X58" s="4"/>
      <c r="Y58" s="3">
        <v>1847181.35</v>
      </c>
      <c r="Z58" s="2" t="s">
        <v>38</v>
      </c>
      <c r="AA58" s="2" t="s">
        <v>186</v>
      </c>
    </row>
    <row r="59" spans="1:27" x14ac:dyDescent="0.25">
      <c r="A59" s="2" t="s">
        <v>27</v>
      </c>
      <c r="B59" s="2" t="s">
        <v>285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32</v>
      </c>
      <c r="H59" s="2" t="s">
        <v>33</v>
      </c>
      <c r="I59" s="2" t="s">
        <v>34</v>
      </c>
      <c r="J59" s="3">
        <v>2776035.44</v>
      </c>
      <c r="K59" s="2" t="s">
        <v>35</v>
      </c>
      <c r="L59" s="3">
        <v>2776035.44</v>
      </c>
      <c r="M59" s="2" t="s">
        <v>35</v>
      </c>
      <c r="N59" s="3">
        <v>2782295.31</v>
      </c>
      <c r="O59" s="2" t="s">
        <v>36</v>
      </c>
      <c r="P59" s="3">
        <v>2782295.31</v>
      </c>
      <c r="Q59" s="2" t="s">
        <v>36</v>
      </c>
      <c r="R59" s="2" t="s">
        <v>187</v>
      </c>
      <c r="S59" s="2" t="s">
        <v>188</v>
      </c>
      <c r="T59" s="2" t="s">
        <v>39</v>
      </c>
      <c r="U59" s="2" t="s">
        <v>40</v>
      </c>
      <c r="V59" s="2" t="s">
        <v>186</v>
      </c>
      <c r="W59" s="3">
        <v>8056.72</v>
      </c>
      <c r="X59" s="4"/>
      <c r="Y59" s="3">
        <v>1847155.27</v>
      </c>
      <c r="Z59" s="2" t="s">
        <v>38</v>
      </c>
      <c r="AA59" s="2" t="s">
        <v>186</v>
      </c>
    </row>
    <row r="60" spans="1:27" x14ac:dyDescent="0.25">
      <c r="A60" s="2" t="s">
        <v>27</v>
      </c>
      <c r="B60" s="2" t="s">
        <v>285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32</v>
      </c>
      <c r="H60" s="2" t="s">
        <v>33</v>
      </c>
      <c r="I60" s="2" t="s">
        <v>34</v>
      </c>
      <c r="J60" s="3">
        <v>2776035.44</v>
      </c>
      <c r="K60" s="2" t="s">
        <v>35</v>
      </c>
      <c r="L60" s="3">
        <v>2776035.44</v>
      </c>
      <c r="M60" s="2" t="s">
        <v>35</v>
      </c>
      <c r="N60" s="3">
        <v>2782295.31</v>
      </c>
      <c r="O60" s="2" t="s">
        <v>36</v>
      </c>
      <c r="P60" s="3">
        <v>2782295.31</v>
      </c>
      <c r="Q60" s="2" t="s">
        <v>36</v>
      </c>
      <c r="R60" s="2" t="s">
        <v>189</v>
      </c>
      <c r="S60" s="2" t="s">
        <v>190</v>
      </c>
      <c r="T60" s="2" t="s">
        <v>39</v>
      </c>
      <c r="U60" s="2" t="s">
        <v>40</v>
      </c>
      <c r="V60" s="2" t="s">
        <v>186</v>
      </c>
      <c r="W60" s="3">
        <v>21501.88</v>
      </c>
      <c r="X60" s="4"/>
      <c r="Y60" s="3">
        <v>1839098.55</v>
      </c>
      <c r="Z60" s="2" t="s">
        <v>38</v>
      </c>
      <c r="AA60" s="2" t="s">
        <v>186</v>
      </c>
    </row>
    <row r="61" spans="1:27" x14ac:dyDescent="0.25">
      <c r="A61" s="2" t="s">
        <v>27</v>
      </c>
      <c r="B61" s="2" t="s">
        <v>285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32</v>
      </c>
      <c r="H61" s="2" t="s">
        <v>33</v>
      </c>
      <c r="I61" s="2" t="s">
        <v>34</v>
      </c>
      <c r="J61" s="3">
        <v>2776035.44</v>
      </c>
      <c r="K61" s="2" t="s">
        <v>35</v>
      </c>
      <c r="L61" s="3">
        <v>2776035.44</v>
      </c>
      <c r="M61" s="2" t="s">
        <v>35</v>
      </c>
      <c r="N61" s="3">
        <v>2782295.31</v>
      </c>
      <c r="O61" s="2" t="s">
        <v>36</v>
      </c>
      <c r="P61" s="3">
        <v>2782295.31</v>
      </c>
      <c r="Q61" s="2" t="s">
        <v>36</v>
      </c>
      <c r="R61" s="2" t="s">
        <v>191</v>
      </c>
      <c r="S61" s="2" t="s">
        <v>192</v>
      </c>
      <c r="T61" s="2" t="s">
        <v>39</v>
      </c>
      <c r="U61" s="2" t="s">
        <v>40</v>
      </c>
      <c r="V61" s="2" t="s">
        <v>186</v>
      </c>
      <c r="W61" s="3">
        <v>15929.88</v>
      </c>
      <c r="X61" s="4"/>
      <c r="Y61" s="3">
        <v>1817596.67</v>
      </c>
      <c r="Z61" s="2" t="s">
        <v>38</v>
      </c>
      <c r="AA61" s="2" t="s">
        <v>186</v>
      </c>
    </row>
    <row r="62" spans="1:27" x14ac:dyDescent="0.25">
      <c r="A62" s="2" t="s">
        <v>27</v>
      </c>
      <c r="B62" s="2" t="s">
        <v>285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32</v>
      </c>
      <c r="H62" s="2" t="s">
        <v>33</v>
      </c>
      <c r="I62" s="2" t="s">
        <v>34</v>
      </c>
      <c r="J62" s="3">
        <v>2776035.44</v>
      </c>
      <c r="K62" s="2" t="s">
        <v>35</v>
      </c>
      <c r="L62" s="3">
        <v>2776035.44</v>
      </c>
      <c r="M62" s="2" t="s">
        <v>35</v>
      </c>
      <c r="N62" s="3">
        <v>2782295.31</v>
      </c>
      <c r="O62" s="2" t="s">
        <v>36</v>
      </c>
      <c r="P62" s="3">
        <v>2782295.31</v>
      </c>
      <c r="Q62" s="2" t="s">
        <v>36</v>
      </c>
      <c r="R62" s="2" t="s">
        <v>193</v>
      </c>
      <c r="S62" s="2" t="s">
        <v>194</v>
      </c>
      <c r="T62" s="2" t="s">
        <v>39</v>
      </c>
      <c r="U62" s="2" t="s">
        <v>40</v>
      </c>
      <c r="V62" s="2" t="s">
        <v>186</v>
      </c>
      <c r="W62" s="3">
        <v>10938.56</v>
      </c>
      <c r="X62" s="4"/>
      <c r="Y62" s="3">
        <v>1801666.79</v>
      </c>
      <c r="Z62" s="2" t="s">
        <v>38</v>
      </c>
      <c r="AA62" s="2" t="s">
        <v>186</v>
      </c>
    </row>
    <row r="63" spans="1:27" x14ac:dyDescent="0.25">
      <c r="A63" s="2" t="s">
        <v>27</v>
      </c>
      <c r="B63" s="2" t="s">
        <v>285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32</v>
      </c>
      <c r="H63" s="2" t="s">
        <v>33</v>
      </c>
      <c r="I63" s="2" t="s">
        <v>34</v>
      </c>
      <c r="J63" s="3">
        <v>2776035.44</v>
      </c>
      <c r="K63" s="2" t="s">
        <v>35</v>
      </c>
      <c r="L63" s="3">
        <v>2776035.44</v>
      </c>
      <c r="M63" s="2" t="s">
        <v>35</v>
      </c>
      <c r="N63" s="3">
        <v>2782295.31</v>
      </c>
      <c r="O63" s="2" t="s">
        <v>36</v>
      </c>
      <c r="P63" s="3">
        <v>2782295.31</v>
      </c>
      <c r="Q63" s="2" t="s">
        <v>36</v>
      </c>
      <c r="R63" s="2" t="s">
        <v>195</v>
      </c>
      <c r="S63" s="2" t="s">
        <v>196</v>
      </c>
      <c r="T63" s="2" t="s">
        <v>41</v>
      </c>
      <c r="U63" s="2" t="s">
        <v>42</v>
      </c>
      <c r="V63" s="2" t="s">
        <v>186</v>
      </c>
      <c r="W63" s="3">
        <v>313.89999999999998</v>
      </c>
      <c r="X63" s="4"/>
      <c r="Y63" s="3">
        <v>1790728.23</v>
      </c>
      <c r="Z63" s="2" t="s">
        <v>38</v>
      </c>
      <c r="AA63" s="2" t="s">
        <v>186</v>
      </c>
    </row>
    <row r="64" spans="1:27" x14ac:dyDescent="0.25">
      <c r="A64" s="2" t="s">
        <v>27</v>
      </c>
      <c r="B64" s="2" t="s">
        <v>285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32</v>
      </c>
      <c r="H64" s="2" t="s">
        <v>33</v>
      </c>
      <c r="I64" s="2" t="s">
        <v>34</v>
      </c>
      <c r="J64" s="3">
        <v>2776035.44</v>
      </c>
      <c r="K64" s="2" t="s">
        <v>35</v>
      </c>
      <c r="L64" s="3">
        <v>2776035.44</v>
      </c>
      <c r="M64" s="2" t="s">
        <v>35</v>
      </c>
      <c r="N64" s="3">
        <v>2782295.31</v>
      </c>
      <c r="O64" s="2" t="s">
        <v>36</v>
      </c>
      <c r="P64" s="3">
        <v>2782295.31</v>
      </c>
      <c r="Q64" s="2" t="s">
        <v>36</v>
      </c>
      <c r="R64" s="2" t="s">
        <v>197</v>
      </c>
      <c r="S64" s="2" t="s">
        <v>198</v>
      </c>
      <c r="T64" s="2" t="s">
        <v>199</v>
      </c>
      <c r="U64" s="2" t="s">
        <v>37</v>
      </c>
      <c r="V64" s="2" t="s">
        <v>200</v>
      </c>
      <c r="W64" s="3">
        <v>6731.72</v>
      </c>
      <c r="X64" s="4"/>
      <c r="Y64" s="3">
        <v>1790414.33</v>
      </c>
      <c r="Z64" s="2" t="s">
        <v>38</v>
      </c>
      <c r="AA64" s="2" t="s">
        <v>200</v>
      </c>
    </row>
    <row r="65" spans="1:27" x14ac:dyDescent="0.25">
      <c r="A65" s="2" t="s">
        <v>27</v>
      </c>
      <c r="B65" s="2" t="s">
        <v>285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32</v>
      </c>
      <c r="H65" s="2" t="s">
        <v>33</v>
      </c>
      <c r="I65" s="2" t="s">
        <v>34</v>
      </c>
      <c r="J65" s="3">
        <v>2776035.44</v>
      </c>
      <c r="K65" s="2" t="s">
        <v>35</v>
      </c>
      <c r="L65" s="3">
        <v>2776035.44</v>
      </c>
      <c r="M65" s="2" t="s">
        <v>35</v>
      </c>
      <c r="N65" s="3">
        <v>2782295.31</v>
      </c>
      <c r="O65" s="2" t="s">
        <v>36</v>
      </c>
      <c r="P65" s="3">
        <v>2782295.31</v>
      </c>
      <c r="Q65" s="2" t="s">
        <v>36</v>
      </c>
      <c r="R65" s="2" t="s">
        <v>201</v>
      </c>
      <c r="S65" s="2" t="s">
        <v>202</v>
      </c>
      <c r="T65" s="2" t="s">
        <v>39</v>
      </c>
      <c r="U65" s="2" t="s">
        <v>40</v>
      </c>
      <c r="V65" s="2" t="s">
        <v>200</v>
      </c>
      <c r="W65" s="3">
        <v>2647.14</v>
      </c>
      <c r="X65" s="4"/>
      <c r="Y65" s="3">
        <v>1783682.61</v>
      </c>
      <c r="Z65" s="2" t="s">
        <v>38</v>
      </c>
      <c r="AA65" s="2" t="s">
        <v>200</v>
      </c>
    </row>
    <row r="66" spans="1:27" x14ac:dyDescent="0.25">
      <c r="A66" s="2" t="s">
        <v>27</v>
      </c>
      <c r="B66" s="2" t="s">
        <v>285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32</v>
      </c>
      <c r="H66" s="2" t="s">
        <v>33</v>
      </c>
      <c r="I66" s="2" t="s">
        <v>34</v>
      </c>
      <c r="J66" s="3">
        <v>2776035.44</v>
      </c>
      <c r="K66" s="2" t="s">
        <v>35</v>
      </c>
      <c r="L66" s="3">
        <v>2776035.44</v>
      </c>
      <c r="M66" s="2" t="s">
        <v>35</v>
      </c>
      <c r="N66" s="3">
        <v>2782295.31</v>
      </c>
      <c r="O66" s="2" t="s">
        <v>36</v>
      </c>
      <c r="P66" s="3">
        <v>2782295.31</v>
      </c>
      <c r="Q66" s="2" t="s">
        <v>36</v>
      </c>
      <c r="R66" s="2" t="s">
        <v>203</v>
      </c>
      <c r="S66" s="2" t="s">
        <v>204</v>
      </c>
      <c r="T66" s="2" t="s">
        <v>205</v>
      </c>
      <c r="U66" s="2" t="s">
        <v>37</v>
      </c>
      <c r="V66" s="2" t="s">
        <v>206</v>
      </c>
      <c r="W66" s="3">
        <v>20685.080000000002</v>
      </c>
      <c r="X66" s="4"/>
      <c r="Y66" s="3">
        <v>1781035.47</v>
      </c>
      <c r="Z66" s="2" t="s">
        <v>38</v>
      </c>
      <c r="AA66" s="2" t="s">
        <v>206</v>
      </c>
    </row>
    <row r="67" spans="1:27" x14ac:dyDescent="0.25">
      <c r="A67" s="2" t="s">
        <v>27</v>
      </c>
      <c r="B67" s="2" t="s">
        <v>285</v>
      </c>
      <c r="C67" s="2" t="s">
        <v>28</v>
      </c>
      <c r="D67" s="2" t="s">
        <v>29</v>
      </c>
      <c r="E67" s="2" t="s">
        <v>30</v>
      </c>
      <c r="F67" s="2" t="s">
        <v>31</v>
      </c>
      <c r="G67" s="2" t="s">
        <v>32</v>
      </c>
      <c r="H67" s="2" t="s">
        <v>33</v>
      </c>
      <c r="I67" s="2" t="s">
        <v>34</v>
      </c>
      <c r="J67" s="3">
        <v>2776035.44</v>
      </c>
      <c r="K67" s="2" t="s">
        <v>35</v>
      </c>
      <c r="L67" s="3">
        <v>2776035.44</v>
      </c>
      <c r="M67" s="2" t="s">
        <v>35</v>
      </c>
      <c r="N67" s="3">
        <v>2782295.31</v>
      </c>
      <c r="O67" s="2" t="s">
        <v>36</v>
      </c>
      <c r="P67" s="3">
        <v>2782295.31</v>
      </c>
      <c r="Q67" s="2" t="s">
        <v>36</v>
      </c>
      <c r="R67" s="2" t="s">
        <v>207</v>
      </c>
      <c r="S67" s="2" t="s">
        <v>208</v>
      </c>
      <c r="T67" s="2" t="s">
        <v>178</v>
      </c>
      <c r="U67" s="2" t="s">
        <v>37</v>
      </c>
      <c r="V67" s="2" t="s">
        <v>206</v>
      </c>
      <c r="W67" s="3">
        <v>3.37</v>
      </c>
      <c r="X67" s="4"/>
      <c r="Y67" s="3">
        <v>1760350.39</v>
      </c>
      <c r="Z67" s="2" t="s">
        <v>38</v>
      </c>
      <c r="AA67" s="2" t="s">
        <v>206</v>
      </c>
    </row>
    <row r="68" spans="1:27" x14ac:dyDescent="0.25">
      <c r="A68" s="2" t="s">
        <v>27</v>
      </c>
      <c r="B68" s="2" t="s">
        <v>285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32</v>
      </c>
      <c r="H68" s="2" t="s">
        <v>33</v>
      </c>
      <c r="I68" s="2" t="s">
        <v>34</v>
      </c>
      <c r="J68" s="3">
        <v>2776035.44</v>
      </c>
      <c r="K68" s="2" t="s">
        <v>35</v>
      </c>
      <c r="L68" s="3">
        <v>2776035.44</v>
      </c>
      <c r="M68" s="2" t="s">
        <v>35</v>
      </c>
      <c r="N68" s="3">
        <v>2782295.31</v>
      </c>
      <c r="O68" s="2" t="s">
        <v>36</v>
      </c>
      <c r="P68" s="3">
        <v>2782295.31</v>
      </c>
      <c r="Q68" s="2" t="s">
        <v>36</v>
      </c>
      <c r="R68" s="2" t="s">
        <v>209</v>
      </c>
      <c r="S68" s="2" t="s">
        <v>210</v>
      </c>
      <c r="T68" s="2" t="s">
        <v>39</v>
      </c>
      <c r="U68" s="2" t="s">
        <v>40</v>
      </c>
      <c r="V68" s="2" t="s">
        <v>206</v>
      </c>
      <c r="W68" s="3">
        <v>14652.86</v>
      </c>
      <c r="X68" s="4"/>
      <c r="Y68" s="3">
        <v>1760347.02</v>
      </c>
      <c r="Z68" s="2" t="s">
        <v>38</v>
      </c>
      <c r="AA68" s="2" t="s">
        <v>206</v>
      </c>
    </row>
    <row r="69" spans="1:27" x14ac:dyDescent="0.25">
      <c r="A69" s="2" t="s">
        <v>27</v>
      </c>
      <c r="B69" s="2" t="s">
        <v>285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32</v>
      </c>
      <c r="H69" s="2" t="s">
        <v>33</v>
      </c>
      <c r="I69" s="2" t="s">
        <v>34</v>
      </c>
      <c r="J69" s="3">
        <v>2776035.44</v>
      </c>
      <c r="K69" s="2" t="s">
        <v>35</v>
      </c>
      <c r="L69" s="3">
        <v>2776035.44</v>
      </c>
      <c r="M69" s="2" t="s">
        <v>35</v>
      </c>
      <c r="N69" s="3">
        <v>2782295.31</v>
      </c>
      <c r="O69" s="2" t="s">
        <v>36</v>
      </c>
      <c r="P69" s="3">
        <v>2782295.31</v>
      </c>
      <c r="Q69" s="2" t="s">
        <v>36</v>
      </c>
      <c r="R69" s="2" t="s">
        <v>211</v>
      </c>
      <c r="S69" s="2" t="s">
        <v>212</v>
      </c>
      <c r="T69" s="2" t="s">
        <v>39</v>
      </c>
      <c r="U69" s="2" t="s">
        <v>40</v>
      </c>
      <c r="V69" s="2" t="s">
        <v>206</v>
      </c>
      <c r="W69" s="3">
        <v>18437.45</v>
      </c>
      <c r="X69" s="4"/>
      <c r="Y69" s="3">
        <v>1745694.16</v>
      </c>
      <c r="Z69" s="2" t="s">
        <v>38</v>
      </c>
      <c r="AA69" s="2" t="s">
        <v>206</v>
      </c>
    </row>
    <row r="70" spans="1:27" x14ac:dyDescent="0.25">
      <c r="A70" s="2" t="s">
        <v>27</v>
      </c>
      <c r="B70" s="2" t="s">
        <v>285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32</v>
      </c>
      <c r="H70" s="2" t="s">
        <v>33</v>
      </c>
      <c r="I70" s="2" t="s">
        <v>34</v>
      </c>
      <c r="J70" s="3">
        <v>2776035.44</v>
      </c>
      <c r="K70" s="2" t="s">
        <v>35</v>
      </c>
      <c r="L70" s="3">
        <v>2776035.44</v>
      </c>
      <c r="M70" s="2" t="s">
        <v>35</v>
      </c>
      <c r="N70" s="3">
        <v>2782295.31</v>
      </c>
      <c r="O70" s="2" t="s">
        <v>36</v>
      </c>
      <c r="P70" s="3">
        <v>2782295.31</v>
      </c>
      <c r="Q70" s="2" t="s">
        <v>36</v>
      </c>
      <c r="R70" s="2" t="s">
        <v>213</v>
      </c>
      <c r="S70" s="2" t="s">
        <v>214</v>
      </c>
      <c r="T70" s="2" t="s">
        <v>39</v>
      </c>
      <c r="U70" s="2" t="s">
        <v>40</v>
      </c>
      <c r="V70" s="2" t="s">
        <v>206</v>
      </c>
      <c r="W70" s="3">
        <v>2668.16</v>
      </c>
      <c r="X70" s="4"/>
      <c r="Y70" s="3">
        <v>1727256.71</v>
      </c>
      <c r="Z70" s="2" t="s">
        <v>38</v>
      </c>
      <c r="AA70" s="2" t="s">
        <v>206</v>
      </c>
    </row>
    <row r="71" spans="1:27" x14ac:dyDescent="0.25">
      <c r="A71" s="2" t="s">
        <v>27</v>
      </c>
      <c r="B71" s="2" t="s">
        <v>285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32</v>
      </c>
      <c r="H71" s="2" t="s">
        <v>33</v>
      </c>
      <c r="I71" s="2" t="s">
        <v>34</v>
      </c>
      <c r="J71" s="3">
        <v>2776035.44</v>
      </c>
      <c r="K71" s="2" t="s">
        <v>35</v>
      </c>
      <c r="L71" s="3">
        <v>2776035.44</v>
      </c>
      <c r="M71" s="2" t="s">
        <v>35</v>
      </c>
      <c r="N71" s="3">
        <v>2782295.31</v>
      </c>
      <c r="O71" s="2" t="s">
        <v>36</v>
      </c>
      <c r="P71" s="3">
        <v>2782295.31</v>
      </c>
      <c r="Q71" s="2" t="s">
        <v>36</v>
      </c>
      <c r="R71" s="2" t="s">
        <v>215</v>
      </c>
      <c r="S71" s="2" t="s">
        <v>216</v>
      </c>
      <c r="T71" s="2" t="s">
        <v>39</v>
      </c>
      <c r="U71" s="2" t="s">
        <v>40</v>
      </c>
      <c r="V71" s="2" t="s">
        <v>206</v>
      </c>
      <c r="W71" s="3">
        <v>2807.63</v>
      </c>
      <c r="X71" s="4"/>
      <c r="Y71" s="3">
        <v>1724588.55</v>
      </c>
      <c r="Z71" s="2" t="s">
        <v>38</v>
      </c>
      <c r="AA71" s="2" t="s">
        <v>206</v>
      </c>
    </row>
    <row r="72" spans="1:27" x14ac:dyDescent="0.25">
      <c r="A72" s="2" t="s">
        <v>27</v>
      </c>
      <c r="B72" s="2" t="s">
        <v>285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32</v>
      </c>
      <c r="H72" s="2" t="s">
        <v>33</v>
      </c>
      <c r="I72" s="2" t="s">
        <v>34</v>
      </c>
      <c r="J72" s="3">
        <v>2776035.44</v>
      </c>
      <c r="K72" s="2" t="s">
        <v>35</v>
      </c>
      <c r="L72" s="3">
        <v>2776035.44</v>
      </c>
      <c r="M72" s="2" t="s">
        <v>35</v>
      </c>
      <c r="N72" s="3">
        <v>2782295.31</v>
      </c>
      <c r="O72" s="2" t="s">
        <v>36</v>
      </c>
      <c r="P72" s="3">
        <v>2782295.31</v>
      </c>
      <c r="Q72" s="2" t="s">
        <v>36</v>
      </c>
      <c r="R72" s="2" t="s">
        <v>217</v>
      </c>
      <c r="S72" s="2" t="s">
        <v>218</v>
      </c>
      <c r="T72" s="2" t="s">
        <v>219</v>
      </c>
      <c r="U72" s="2" t="s">
        <v>37</v>
      </c>
      <c r="V72" s="2" t="s">
        <v>220</v>
      </c>
      <c r="W72" s="3">
        <v>1019.18</v>
      </c>
      <c r="X72" s="4"/>
      <c r="Y72" s="3">
        <v>1721780.92</v>
      </c>
      <c r="Z72" s="2" t="s">
        <v>38</v>
      </c>
      <c r="AA72" s="2" t="s">
        <v>220</v>
      </c>
    </row>
    <row r="73" spans="1:27" x14ac:dyDescent="0.25">
      <c r="A73" s="2" t="s">
        <v>27</v>
      </c>
      <c r="B73" s="2" t="s">
        <v>285</v>
      </c>
      <c r="C73" s="2" t="s">
        <v>28</v>
      </c>
      <c r="D73" s="2" t="s">
        <v>29</v>
      </c>
      <c r="E73" s="2" t="s">
        <v>30</v>
      </c>
      <c r="F73" s="2" t="s">
        <v>31</v>
      </c>
      <c r="G73" s="2" t="s">
        <v>32</v>
      </c>
      <c r="H73" s="2" t="s">
        <v>33</v>
      </c>
      <c r="I73" s="2" t="s">
        <v>34</v>
      </c>
      <c r="J73" s="3">
        <v>2776035.44</v>
      </c>
      <c r="K73" s="2" t="s">
        <v>35</v>
      </c>
      <c r="L73" s="3">
        <v>2776035.44</v>
      </c>
      <c r="M73" s="2" t="s">
        <v>35</v>
      </c>
      <c r="N73" s="3">
        <v>2782295.31</v>
      </c>
      <c r="O73" s="2" t="s">
        <v>36</v>
      </c>
      <c r="P73" s="3">
        <v>2782295.31</v>
      </c>
      <c r="Q73" s="2" t="s">
        <v>36</v>
      </c>
      <c r="R73" s="2" t="s">
        <v>221</v>
      </c>
      <c r="S73" s="2" t="s">
        <v>222</v>
      </c>
      <c r="T73" s="2" t="s">
        <v>223</v>
      </c>
      <c r="U73" s="2" t="s">
        <v>37</v>
      </c>
      <c r="V73" s="2" t="s">
        <v>220</v>
      </c>
      <c r="W73" s="3">
        <v>4885.16</v>
      </c>
      <c r="X73" s="4"/>
      <c r="Y73" s="3">
        <v>1720761.74</v>
      </c>
      <c r="Z73" s="2" t="s">
        <v>38</v>
      </c>
      <c r="AA73" s="2" t="s">
        <v>220</v>
      </c>
    </row>
    <row r="74" spans="1:27" x14ac:dyDescent="0.25">
      <c r="A74" s="2" t="s">
        <v>27</v>
      </c>
      <c r="B74" s="2" t="s">
        <v>285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32</v>
      </c>
      <c r="H74" s="2" t="s">
        <v>33</v>
      </c>
      <c r="I74" s="2" t="s">
        <v>34</v>
      </c>
      <c r="J74" s="3">
        <v>2776035.44</v>
      </c>
      <c r="K74" s="2" t="s">
        <v>35</v>
      </c>
      <c r="L74" s="3">
        <v>2776035.44</v>
      </c>
      <c r="M74" s="2" t="s">
        <v>35</v>
      </c>
      <c r="N74" s="3">
        <v>2782295.31</v>
      </c>
      <c r="O74" s="2" t="s">
        <v>36</v>
      </c>
      <c r="P74" s="3">
        <v>2782295.31</v>
      </c>
      <c r="Q74" s="2" t="s">
        <v>36</v>
      </c>
      <c r="R74" s="2" t="s">
        <v>224</v>
      </c>
      <c r="S74" s="2" t="s">
        <v>225</v>
      </c>
      <c r="T74" s="2" t="s">
        <v>39</v>
      </c>
      <c r="U74" s="2" t="s">
        <v>40</v>
      </c>
      <c r="V74" s="2" t="s">
        <v>220</v>
      </c>
      <c r="W74" s="3">
        <v>12679.71</v>
      </c>
      <c r="X74" s="4"/>
      <c r="Y74" s="3">
        <v>1715876.58</v>
      </c>
      <c r="Z74" s="2" t="s">
        <v>38</v>
      </c>
      <c r="AA74" s="2" t="s">
        <v>220</v>
      </c>
    </row>
    <row r="75" spans="1:27" x14ac:dyDescent="0.25">
      <c r="A75" s="2" t="s">
        <v>27</v>
      </c>
      <c r="B75" s="2" t="s">
        <v>285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32</v>
      </c>
      <c r="H75" s="2" t="s">
        <v>33</v>
      </c>
      <c r="I75" s="2" t="s">
        <v>34</v>
      </c>
      <c r="J75" s="3">
        <v>2776035.44</v>
      </c>
      <c r="K75" s="2" t="s">
        <v>35</v>
      </c>
      <c r="L75" s="3">
        <v>2776035.44</v>
      </c>
      <c r="M75" s="2" t="s">
        <v>35</v>
      </c>
      <c r="N75" s="3">
        <v>2782295.31</v>
      </c>
      <c r="O75" s="2" t="s">
        <v>36</v>
      </c>
      <c r="P75" s="3">
        <v>2782295.31</v>
      </c>
      <c r="Q75" s="2" t="s">
        <v>36</v>
      </c>
      <c r="R75" s="2" t="s">
        <v>226</v>
      </c>
      <c r="S75" s="2" t="s">
        <v>227</v>
      </c>
      <c r="T75" s="2" t="s">
        <v>39</v>
      </c>
      <c r="U75" s="2" t="s">
        <v>40</v>
      </c>
      <c r="V75" s="2" t="s">
        <v>220</v>
      </c>
      <c r="W75" s="3">
        <v>30109</v>
      </c>
      <c r="X75" s="4"/>
      <c r="Y75" s="3">
        <v>1703196.87</v>
      </c>
      <c r="Z75" s="2" t="s">
        <v>38</v>
      </c>
      <c r="AA75" s="2" t="s">
        <v>220</v>
      </c>
    </row>
    <row r="76" spans="1:27" x14ac:dyDescent="0.25">
      <c r="A76" s="2" t="s">
        <v>27</v>
      </c>
      <c r="B76" s="2" t="s">
        <v>285</v>
      </c>
      <c r="C76" s="2" t="s">
        <v>28</v>
      </c>
      <c r="D76" s="2" t="s">
        <v>29</v>
      </c>
      <c r="E76" s="2" t="s">
        <v>30</v>
      </c>
      <c r="F76" s="2" t="s">
        <v>31</v>
      </c>
      <c r="G76" s="2" t="s">
        <v>32</v>
      </c>
      <c r="H76" s="2" t="s">
        <v>33</v>
      </c>
      <c r="I76" s="2" t="s">
        <v>34</v>
      </c>
      <c r="J76" s="3">
        <v>2776035.44</v>
      </c>
      <c r="K76" s="2" t="s">
        <v>35</v>
      </c>
      <c r="L76" s="3">
        <v>2776035.44</v>
      </c>
      <c r="M76" s="2" t="s">
        <v>35</v>
      </c>
      <c r="N76" s="3">
        <v>2782295.31</v>
      </c>
      <c r="O76" s="2" t="s">
        <v>36</v>
      </c>
      <c r="P76" s="3">
        <v>2782295.31</v>
      </c>
      <c r="Q76" s="2" t="s">
        <v>36</v>
      </c>
      <c r="R76" s="2" t="s">
        <v>228</v>
      </c>
      <c r="S76" s="2" t="s">
        <v>229</v>
      </c>
      <c r="T76" s="2" t="s">
        <v>39</v>
      </c>
      <c r="U76" s="2" t="s">
        <v>40</v>
      </c>
      <c r="V76" s="2" t="s">
        <v>230</v>
      </c>
      <c r="W76" s="3">
        <v>7225.07</v>
      </c>
      <c r="X76" s="4"/>
      <c r="Y76" s="3">
        <v>1673087.87</v>
      </c>
      <c r="Z76" s="2" t="s">
        <v>38</v>
      </c>
      <c r="AA76" s="2" t="s">
        <v>230</v>
      </c>
    </row>
    <row r="77" spans="1:27" x14ac:dyDescent="0.25">
      <c r="A77" s="2" t="s">
        <v>27</v>
      </c>
      <c r="B77" s="2" t="s">
        <v>285</v>
      </c>
      <c r="C77" s="2" t="s">
        <v>28</v>
      </c>
      <c r="D77" s="2" t="s">
        <v>29</v>
      </c>
      <c r="E77" s="2" t="s">
        <v>30</v>
      </c>
      <c r="F77" s="2" t="s">
        <v>31</v>
      </c>
      <c r="G77" s="2" t="s">
        <v>32</v>
      </c>
      <c r="H77" s="2" t="s">
        <v>33</v>
      </c>
      <c r="I77" s="2" t="s">
        <v>34</v>
      </c>
      <c r="J77" s="3">
        <v>2776035.44</v>
      </c>
      <c r="K77" s="2" t="s">
        <v>35</v>
      </c>
      <c r="L77" s="3">
        <v>2776035.44</v>
      </c>
      <c r="M77" s="2" t="s">
        <v>35</v>
      </c>
      <c r="N77" s="3">
        <v>2782295.31</v>
      </c>
      <c r="O77" s="2" t="s">
        <v>36</v>
      </c>
      <c r="P77" s="3">
        <v>2782295.31</v>
      </c>
      <c r="Q77" s="2" t="s">
        <v>36</v>
      </c>
      <c r="R77" s="2" t="s">
        <v>231</v>
      </c>
      <c r="S77" s="2" t="s">
        <v>232</v>
      </c>
      <c r="T77" s="2" t="s">
        <v>39</v>
      </c>
      <c r="U77" s="2" t="s">
        <v>40</v>
      </c>
      <c r="V77" s="2" t="s">
        <v>230</v>
      </c>
      <c r="W77" s="3">
        <v>7503.08</v>
      </c>
      <c r="X77" s="4"/>
      <c r="Y77" s="3">
        <v>1665862.8</v>
      </c>
      <c r="Z77" s="2" t="s">
        <v>38</v>
      </c>
      <c r="AA77" s="2" t="s">
        <v>230</v>
      </c>
    </row>
    <row r="78" spans="1:27" x14ac:dyDescent="0.25">
      <c r="A78" s="2" t="s">
        <v>27</v>
      </c>
      <c r="B78" s="2" t="s">
        <v>285</v>
      </c>
      <c r="C78" s="2" t="s">
        <v>28</v>
      </c>
      <c r="D78" s="2" t="s">
        <v>29</v>
      </c>
      <c r="E78" s="2" t="s">
        <v>30</v>
      </c>
      <c r="F78" s="2" t="s">
        <v>31</v>
      </c>
      <c r="G78" s="2" t="s">
        <v>32</v>
      </c>
      <c r="H78" s="2" t="s">
        <v>33</v>
      </c>
      <c r="I78" s="2" t="s">
        <v>34</v>
      </c>
      <c r="J78" s="3">
        <v>2776035.44</v>
      </c>
      <c r="K78" s="2" t="s">
        <v>35</v>
      </c>
      <c r="L78" s="3">
        <v>2776035.44</v>
      </c>
      <c r="M78" s="2" t="s">
        <v>35</v>
      </c>
      <c r="N78" s="3">
        <v>2782295.31</v>
      </c>
      <c r="O78" s="2" t="s">
        <v>36</v>
      </c>
      <c r="P78" s="3">
        <v>2782295.31</v>
      </c>
      <c r="Q78" s="2" t="s">
        <v>36</v>
      </c>
      <c r="R78" s="2" t="s">
        <v>233</v>
      </c>
      <c r="S78" s="2" t="s">
        <v>234</v>
      </c>
      <c r="T78" s="2" t="s">
        <v>39</v>
      </c>
      <c r="U78" s="2" t="s">
        <v>40</v>
      </c>
      <c r="V78" s="2" t="s">
        <v>230</v>
      </c>
      <c r="W78" s="3">
        <v>9175</v>
      </c>
      <c r="X78" s="4"/>
      <c r="Y78" s="3">
        <v>1658359.72</v>
      </c>
      <c r="Z78" s="2" t="s">
        <v>38</v>
      </c>
      <c r="AA78" s="2" t="s">
        <v>230</v>
      </c>
    </row>
    <row r="79" spans="1:27" x14ac:dyDescent="0.25">
      <c r="A79" s="2" t="s">
        <v>27</v>
      </c>
      <c r="B79" s="2" t="s">
        <v>285</v>
      </c>
      <c r="C79" s="2" t="s">
        <v>28</v>
      </c>
      <c r="D79" s="2" t="s">
        <v>29</v>
      </c>
      <c r="E79" s="2" t="s">
        <v>30</v>
      </c>
      <c r="F79" s="2" t="s">
        <v>31</v>
      </c>
      <c r="G79" s="2" t="s">
        <v>32</v>
      </c>
      <c r="H79" s="2" t="s">
        <v>33</v>
      </c>
      <c r="I79" s="2" t="s">
        <v>34</v>
      </c>
      <c r="J79" s="3">
        <v>2776035.44</v>
      </c>
      <c r="K79" s="2" t="s">
        <v>35</v>
      </c>
      <c r="L79" s="3">
        <v>2776035.44</v>
      </c>
      <c r="M79" s="2" t="s">
        <v>35</v>
      </c>
      <c r="N79" s="3">
        <v>2782295.31</v>
      </c>
      <c r="O79" s="2" t="s">
        <v>36</v>
      </c>
      <c r="P79" s="3">
        <v>2782295.31</v>
      </c>
      <c r="Q79" s="2" t="s">
        <v>36</v>
      </c>
      <c r="R79" s="2" t="s">
        <v>235</v>
      </c>
      <c r="S79" s="2" t="s">
        <v>236</v>
      </c>
      <c r="T79" s="2" t="s">
        <v>39</v>
      </c>
      <c r="U79" s="2" t="s">
        <v>40</v>
      </c>
      <c r="V79" s="2" t="s">
        <v>230</v>
      </c>
      <c r="W79" s="3">
        <v>2067.0100000000002</v>
      </c>
      <c r="X79" s="4"/>
      <c r="Y79" s="3">
        <v>1649184.72</v>
      </c>
      <c r="Z79" s="2" t="s">
        <v>38</v>
      </c>
      <c r="AA79" s="2" t="s">
        <v>230</v>
      </c>
    </row>
    <row r="80" spans="1:27" x14ac:dyDescent="0.25">
      <c r="A80" s="2" t="s">
        <v>27</v>
      </c>
      <c r="B80" s="2" t="s">
        <v>285</v>
      </c>
      <c r="C80" s="2" t="s">
        <v>28</v>
      </c>
      <c r="D80" s="2" t="s">
        <v>29</v>
      </c>
      <c r="E80" s="2" t="s">
        <v>30</v>
      </c>
      <c r="F80" s="2" t="s">
        <v>31</v>
      </c>
      <c r="G80" s="2" t="s">
        <v>32</v>
      </c>
      <c r="H80" s="2" t="s">
        <v>33</v>
      </c>
      <c r="I80" s="2" t="s">
        <v>34</v>
      </c>
      <c r="J80" s="3">
        <v>2776035.44</v>
      </c>
      <c r="K80" s="2" t="s">
        <v>35</v>
      </c>
      <c r="L80" s="3">
        <v>2776035.44</v>
      </c>
      <c r="M80" s="2" t="s">
        <v>35</v>
      </c>
      <c r="N80" s="3">
        <v>2782295.31</v>
      </c>
      <c r="O80" s="2" t="s">
        <v>36</v>
      </c>
      <c r="P80" s="3">
        <v>2782295.31</v>
      </c>
      <c r="Q80" s="2" t="s">
        <v>36</v>
      </c>
      <c r="R80" s="2" t="s">
        <v>237</v>
      </c>
      <c r="S80" s="2" t="s">
        <v>238</v>
      </c>
      <c r="T80" s="2" t="s">
        <v>41</v>
      </c>
      <c r="U80" s="2" t="s">
        <v>42</v>
      </c>
      <c r="V80" s="2" t="s">
        <v>230</v>
      </c>
      <c r="W80" s="3">
        <v>1349.69</v>
      </c>
      <c r="X80" s="4"/>
      <c r="Y80" s="3">
        <v>1647117.71</v>
      </c>
      <c r="Z80" s="2" t="s">
        <v>38</v>
      </c>
      <c r="AA80" s="2" t="s">
        <v>230</v>
      </c>
    </row>
    <row r="81" spans="1:30" x14ac:dyDescent="0.25">
      <c r="A81" s="2" t="s">
        <v>27</v>
      </c>
      <c r="B81" s="2" t="s">
        <v>285</v>
      </c>
      <c r="C81" s="2" t="s">
        <v>28</v>
      </c>
      <c r="D81" s="2" t="s">
        <v>29</v>
      </c>
      <c r="E81" s="2" t="s">
        <v>30</v>
      </c>
      <c r="F81" s="2" t="s">
        <v>31</v>
      </c>
      <c r="G81" s="2" t="s">
        <v>32</v>
      </c>
      <c r="H81" s="2" t="s">
        <v>33</v>
      </c>
      <c r="I81" s="2" t="s">
        <v>34</v>
      </c>
      <c r="J81" s="3">
        <v>2776035.44</v>
      </c>
      <c r="K81" s="2" t="s">
        <v>35</v>
      </c>
      <c r="L81" s="3">
        <v>2776035.44</v>
      </c>
      <c r="M81" s="2" t="s">
        <v>35</v>
      </c>
      <c r="N81" s="3">
        <v>2782295.31</v>
      </c>
      <c r="O81" s="2" t="s">
        <v>36</v>
      </c>
      <c r="P81" s="3">
        <v>2782295.31</v>
      </c>
      <c r="Q81" s="2" t="s">
        <v>36</v>
      </c>
      <c r="R81" s="2" t="s">
        <v>239</v>
      </c>
      <c r="S81" s="2" t="s">
        <v>240</v>
      </c>
      <c r="T81" s="2" t="s">
        <v>241</v>
      </c>
      <c r="U81" s="2" t="s">
        <v>42</v>
      </c>
      <c r="V81" s="2" t="s">
        <v>230</v>
      </c>
      <c r="W81" s="3">
        <v>866.3</v>
      </c>
      <c r="X81" s="4"/>
      <c r="Y81" s="3">
        <v>1645768.02</v>
      </c>
      <c r="Z81" s="2" t="s">
        <v>38</v>
      </c>
      <c r="AA81" s="2" t="s">
        <v>230</v>
      </c>
    </row>
    <row r="82" spans="1:30" x14ac:dyDescent="0.25">
      <c r="A82" s="2" t="s">
        <v>27</v>
      </c>
      <c r="B82" s="2" t="s">
        <v>285</v>
      </c>
      <c r="C82" s="2" t="s">
        <v>28</v>
      </c>
      <c r="D82" s="2" t="s">
        <v>29</v>
      </c>
      <c r="E82" s="2" t="s">
        <v>30</v>
      </c>
      <c r="F82" s="2" t="s">
        <v>31</v>
      </c>
      <c r="G82" s="2" t="s">
        <v>32</v>
      </c>
      <c r="H82" s="2" t="s">
        <v>33</v>
      </c>
      <c r="I82" s="2" t="s">
        <v>34</v>
      </c>
      <c r="J82" s="3">
        <v>2776035.44</v>
      </c>
      <c r="K82" s="2" t="s">
        <v>35</v>
      </c>
      <c r="L82" s="3">
        <v>2776035.44</v>
      </c>
      <c r="M82" s="2" t="s">
        <v>35</v>
      </c>
      <c r="N82" s="3">
        <v>2782295.31</v>
      </c>
      <c r="O82" s="2" t="s">
        <v>36</v>
      </c>
      <c r="P82" s="3">
        <v>2782295.31</v>
      </c>
      <c r="Q82" s="2" t="s">
        <v>36</v>
      </c>
      <c r="R82" s="2" t="s">
        <v>242</v>
      </c>
      <c r="S82" s="2" t="s">
        <v>243</v>
      </c>
      <c r="T82" s="2" t="s">
        <v>244</v>
      </c>
      <c r="U82" s="2" t="s">
        <v>40</v>
      </c>
      <c r="V82" s="2" t="s">
        <v>230</v>
      </c>
      <c r="W82" s="4"/>
      <c r="X82" s="3">
        <v>-12144.15</v>
      </c>
      <c r="Y82" s="3">
        <v>1644901.72</v>
      </c>
      <c r="Z82" s="2" t="s">
        <v>38</v>
      </c>
      <c r="AA82" s="2" t="s">
        <v>230</v>
      </c>
    </row>
    <row r="83" spans="1:30" x14ac:dyDescent="0.25">
      <c r="A83" s="2" t="s">
        <v>27</v>
      </c>
      <c r="B83" s="2" t="s">
        <v>285</v>
      </c>
      <c r="C83" s="2" t="s">
        <v>28</v>
      </c>
      <c r="D83" s="2" t="s">
        <v>29</v>
      </c>
      <c r="E83" s="2" t="s">
        <v>30</v>
      </c>
      <c r="F83" s="2" t="s">
        <v>31</v>
      </c>
      <c r="G83" s="2" t="s">
        <v>32</v>
      </c>
      <c r="H83" s="2" t="s">
        <v>33</v>
      </c>
      <c r="I83" s="2" t="s">
        <v>34</v>
      </c>
      <c r="J83" s="3">
        <v>2776035.44</v>
      </c>
      <c r="K83" s="2" t="s">
        <v>35</v>
      </c>
      <c r="L83" s="3">
        <v>2776035.44</v>
      </c>
      <c r="M83" s="2" t="s">
        <v>35</v>
      </c>
      <c r="N83" s="3">
        <v>2782295.31</v>
      </c>
      <c r="O83" s="2" t="s">
        <v>36</v>
      </c>
      <c r="P83" s="3">
        <v>2782295.31</v>
      </c>
      <c r="Q83" s="2" t="s">
        <v>36</v>
      </c>
      <c r="R83" s="2" t="s">
        <v>245</v>
      </c>
      <c r="S83" s="2" t="s">
        <v>246</v>
      </c>
      <c r="T83" s="2" t="s">
        <v>247</v>
      </c>
      <c r="U83" s="2" t="s">
        <v>40</v>
      </c>
      <c r="V83" s="2" t="s">
        <v>230</v>
      </c>
      <c r="W83" s="4"/>
      <c r="X83" s="3">
        <v>-175</v>
      </c>
      <c r="Y83" s="3">
        <v>1657045.87</v>
      </c>
      <c r="Z83" s="2" t="s">
        <v>38</v>
      </c>
      <c r="AA83" s="2" t="s">
        <v>230</v>
      </c>
    </row>
    <row r="84" spans="1:30" x14ac:dyDescent="0.25">
      <c r="A84" s="2" t="s">
        <v>27</v>
      </c>
      <c r="B84" s="2" t="s">
        <v>285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32</v>
      </c>
      <c r="H84" s="2" t="s">
        <v>33</v>
      </c>
      <c r="I84" s="2" t="s">
        <v>34</v>
      </c>
      <c r="J84" s="3">
        <v>2776035.44</v>
      </c>
      <c r="K84" s="2" t="s">
        <v>35</v>
      </c>
      <c r="L84" s="3">
        <v>2776035.44</v>
      </c>
      <c r="M84" s="2" t="s">
        <v>35</v>
      </c>
      <c r="N84" s="3">
        <v>2782295.31</v>
      </c>
      <c r="O84" s="2" t="s">
        <v>36</v>
      </c>
      <c r="P84" s="3">
        <v>2782295.31</v>
      </c>
      <c r="Q84" s="2" t="s">
        <v>36</v>
      </c>
      <c r="R84" s="2" t="s">
        <v>248</v>
      </c>
      <c r="S84" s="2" t="s">
        <v>249</v>
      </c>
      <c r="T84" s="2" t="s">
        <v>39</v>
      </c>
      <c r="U84" s="2" t="s">
        <v>40</v>
      </c>
      <c r="V84" s="2" t="s">
        <v>250</v>
      </c>
      <c r="W84" s="3">
        <v>185</v>
      </c>
      <c r="X84" s="4"/>
      <c r="Y84" s="3">
        <v>1657220.87</v>
      </c>
      <c r="Z84" s="2" t="s">
        <v>38</v>
      </c>
      <c r="AA84" s="2" t="s">
        <v>250</v>
      </c>
    </row>
    <row r="85" spans="1:30" x14ac:dyDescent="0.25">
      <c r="A85" s="2" t="s">
        <v>27</v>
      </c>
      <c r="B85" s="2" t="s">
        <v>285</v>
      </c>
      <c r="C85" s="2" t="s">
        <v>28</v>
      </c>
      <c r="D85" s="2" t="s">
        <v>29</v>
      </c>
      <c r="E85" s="2" t="s">
        <v>30</v>
      </c>
      <c r="F85" s="2" t="s">
        <v>31</v>
      </c>
      <c r="G85" s="2" t="s">
        <v>32</v>
      </c>
      <c r="H85" s="2" t="s">
        <v>33</v>
      </c>
      <c r="I85" s="2" t="s">
        <v>34</v>
      </c>
      <c r="J85" s="3">
        <v>2776035.44</v>
      </c>
      <c r="K85" s="2" t="s">
        <v>35</v>
      </c>
      <c r="L85" s="3">
        <v>2776035.44</v>
      </c>
      <c r="M85" s="2" t="s">
        <v>35</v>
      </c>
      <c r="N85" s="3">
        <v>2782295.31</v>
      </c>
      <c r="O85" s="2" t="s">
        <v>36</v>
      </c>
      <c r="P85" s="3">
        <v>2782295.31</v>
      </c>
      <c r="Q85" s="2" t="s">
        <v>36</v>
      </c>
      <c r="R85" s="2" t="s">
        <v>251</v>
      </c>
      <c r="S85" s="2" t="s">
        <v>252</v>
      </c>
      <c r="T85" s="2" t="s">
        <v>39</v>
      </c>
      <c r="U85" s="2" t="s">
        <v>40</v>
      </c>
      <c r="V85" s="2" t="s">
        <v>250</v>
      </c>
      <c r="W85" s="3">
        <v>18855</v>
      </c>
      <c r="X85" s="4"/>
      <c r="Y85" s="3">
        <v>1657035.87</v>
      </c>
      <c r="Z85" s="2" t="s">
        <v>38</v>
      </c>
      <c r="AA85" s="2" t="s">
        <v>250</v>
      </c>
    </row>
    <row r="86" spans="1:30" x14ac:dyDescent="0.25">
      <c r="A86" s="2" t="s">
        <v>27</v>
      </c>
      <c r="B86" s="2" t="s">
        <v>285</v>
      </c>
      <c r="C86" s="2" t="s">
        <v>28</v>
      </c>
      <c r="D86" s="2" t="s">
        <v>29</v>
      </c>
      <c r="E86" s="2" t="s">
        <v>30</v>
      </c>
      <c r="F86" s="2" t="s">
        <v>31</v>
      </c>
      <c r="G86" s="2" t="s">
        <v>32</v>
      </c>
      <c r="H86" s="2" t="s">
        <v>33</v>
      </c>
      <c r="I86" s="2" t="s">
        <v>34</v>
      </c>
      <c r="J86" s="3">
        <v>2776035.44</v>
      </c>
      <c r="K86" s="2" t="s">
        <v>35</v>
      </c>
      <c r="L86" s="3">
        <v>2776035.44</v>
      </c>
      <c r="M86" s="2" t="s">
        <v>35</v>
      </c>
      <c r="N86" s="3">
        <v>2782295.31</v>
      </c>
      <c r="O86" s="2" t="s">
        <v>36</v>
      </c>
      <c r="P86" s="3">
        <v>2782295.31</v>
      </c>
      <c r="Q86" s="2" t="s">
        <v>36</v>
      </c>
      <c r="R86" s="2" t="s">
        <v>253</v>
      </c>
      <c r="S86" s="2" t="s">
        <v>254</v>
      </c>
      <c r="T86" s="2" t="s">
        <v>255</v>
      </c>
      <c r="U86" s="2" t="s">
        <v>40</v>
      </c>
      <c r="V86" s="2" t="s">
        <v>250</v>
      </c>
      <c r="W86" s="3">
        <v>4510</v>
      </c>
      <c r="X86" s="4"/>
      <c r="Y86" s="3">
        <v>1638180.87</v>
      </c>
      <c r="Z86" s="2" t="s">
        <v>38</v>
      </c>
      <c r="AA86" s="2" t="s">
        <v>250</v>
      </c>
    </row>
    <row r="87" spans="1:30" x14ac:dyDescent="0.25">
      <c r="A87" s="2" t="s">
        <v>27</v>
      </c>
      <c r="B87" s="2" t="s">
        <v>285</v>
      </c>
      <c r="C87" s="2" t="s">
        <v>28</v>
      </c>
      <c r="D87" s="2" t="s">
        <v>29</v>
      </c>
      <c r="E87" s="2" t="s">
        <v>30</v>
      </c>
      <c r="F87" s="2" t="s">
        <v>31</v>
      </c>
      <c r="G87" s="2" t="s">
        <v>32</v>
      </c>
      <c r="H87" s="2" t="s">
        <v>33</v>
      </c>
      <c r="I87" s="2" t="s">
        <v>34</v>
      </c>
      <c r="J87" s="3">
        <v>2776035.44</v>
      </c>
      <c r="K87" s="2" t="s">
        <v>35</v>
      </c>
      <c r="L87" s="3">
        <v>2776035.44</v>
      </c>
      <c r="M87" s="2" t="s">
        <v>35</v>
      </c>
      <c r="N87" s="3">
        <v>2782295.31</v>
      </c>
      <c r="O87" s="2" t="s">
        <v>36</v>
      </c>
      <c r="P87" s="3">
        <v>2782295.31</v>
      </c>
      <c r="Q87" s="2" t="s">
        <v>36</v>
      </c>
      <c r="R87" s="2" t="s">
        <v>256</v>
      </c>
      <c r="S87" s="2" t="s">
        <v>257</v>
      </c>
      <c r="T87" s="2" t="s">
        <v>258</v>
      </c>
      <c r="U87" s="2" t="s">
        <v>37</v>
      </c>
      <c r="V87" s="2" t="s">
        <v>259</v>
      </c>
      <c r="W87" s="3">
        <v>11684.77</v>
      </c>
      <c r="X87" s="4"/>
      <c r="Y87" s="3">
        <v>1633670.87</v>
      </c>
      <c r="Z87" s="2" t="s">
        <v>38</v>
      </c>
      <c r="AA87" s="2" t="s">
        <v>259</v>
      </c>
    </row>
    <row r="88" spans="1:30" x14ac:dyDescent="0.25">
      <c r="A88" s="2" t="s">
        <v>27</v>
      </c>
      <c r="B88" s="2" t="s">
        <v>285</v>
      </c>
      <c r="C88" s="2" t="s">
        <v>28</v>
      </c>
      <c r="D88" s="2" t="s">
        <v>29</v>
      </c>
      <c r="E88" s="2" t="s">
        <v>30</v>
      </c>
      <c r="F88" s="2" t="s">
        <v>31</v>
      </c>
      <c r="G88" s="2" t="s">
        <v>32</v>
      </c>
      <c r="H88" s="2" t="s">
        <v>33</v>
      </c>
      <c r="I88" s="2" t="s">
        <v>34</v>
      </c>
      <c r="J88" s="3">
        <v>2776035.44</v>
      </c>
      <c r="K88" s="2" t="s">
        <v>35</v>
      </c>
      <c r="L88" s="3">
        <v>2776035.44</v>
      </c>
      <c r="M88" s="2" t="s">
        <v>35</v>
      </c>
      <c r="N88" s="3">
        <v>2782295.31</v>
      </c>
      <c r="O88" s="2" t="s">
        <v>36</v>
      </c>
      <c r="P88" s="3">
        <v>2782295.31</v>
      </c>
      <c r="Q88" s="2" t="s">
        <v>36</v>
      </c>
      <c r="R88" s="2" t="s">
        <v>260</v>
      </c>
      <c r="S88" s="2" t="s">
        <v>261</v>
      </c>
      <c r="T88" s="2" t="s">
        <v>262</v>
      </c>
      <c r="U88" s="2" t="s">
        <v>37</v>
      </c>
      <c r="V88" s="2" t="s">
        <v>259</v>
      </c>
      <c r="W88" s="3">
        <v>19309</v>
      </c>
      <c r="X88" s="4"/>
      <c r="Y88" s="3">
        <v>1621986.1</v>
      </c>
      <c r="Z88" s="2" t="s">
        <v>38</v>
      </c>
      <c r="AA88" s="2" t="s">
        <v>259</v>
      </c>
    </row>
    <row r="89" spans="1:30" x14ac:dyDescent="0.25">
      <c r="A89" s="2" t="s">
        <v>27</v>
      </c>
      <c r="B89" s="2" t="s">
        <v>285</v>
      </c>
      <c r="C89" s="2" t="s">
        <v>28</v>
      </c>
      <c r="D89" s="2" t="s">
        <v>29</v>
      </c>
      <c r="E89" s="2" t="s">
        <v>30</v>
      </c>
      <c r="F89" s="2" t="s">
        <v>31</v>
      </c>
      <c r="G89" s="2" t="s">
        <v>32</v>
      </c>
      <c r="H89" s="2" t="s">
        <v>33</v>
      </c>
      <c r="I89" s="2" t="s">
        <v>34</v>
      </c>
      <c r="J89" s="3">
        <v>2776035.44</v>
      </c>
      <c r="K89" s="2" t="s">
        <v>35</v>
      </c>
      <c r="L89" s="3">
        <v>2776035.44</v>
      </c>
      <c r="M89" s="2" t="s">
        <v>35</v>
      </c>
      <c r="N89" s="3">
        <v>2782295.31</v>
      </c>
      <c r="O89" s="2" t="s">
        <v>36</v>
      </c>
      <c r="P89" s="3">
        <v>2782295.31</v>
      </c>
      <c r="Q89" s="2" t="s">
        <v>36</v>
      </c>
      <c r="R89" s="2" t="s">
        <v>263</v>
      </c>
      <c r="S89" s="2" t="s">
        <v>264</v>
      </c>
      <c r="T89" s="2" t="s">
        <v>39</v>
      </c>
      <c r="U89" s="2" t="s">
        <v>40</v>
      </c>
      <c r="V89" s="2" t="s">
        <v>259</v>
      </c>
      <c r="W89" s="3">
        <v>1673.57</v>
      </c>
      <c r="X89" s="4"/>
      <c r="Y89" s="3">
        <v>1602677.1</v>
      </c>
      <c r="Z89" s="2" t="s">
        <v>38</v>
      </c>
      <c r="AA89" s="2" t="s">
        <v>259</v>
      </c>
    </row>
    <row r="90" spans="1:30" x14ac:dyDescent="0.25">
      <c r="A90" s="2" t="s">
        <v>27</v>
      </c>
      <c r="B90" s="2" t="s">
        <v>285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32</v>
      </c>
      <c r="H90" s="2" t="s">
        <v>33</v>
      </c>
      <c r="I90" s="2" t="s">
        <v>34</v>
      </c>
      <c r="J90" s="3">
        <v>2776035.44</v>
      </c>
      <c r="K90" s="2" t="s">
        <v>35</v>
      </c>
      <c r="L90" s="3">
        <v>2776035.44</v>
      </c>
      <c r="M90" s="2" t="s">
        <v>35</v>
      </c>
      <c r="N90" s="3">
        <v>2782295.31</v>
      </c>
      <c r="O90" s="2" t="s">
        <v>36</v>
      </c>
      <c r="P90" s="3">
        <v>2782295.31</v>
      </c>
      <c r="Q90" s="2" t="s">
        <v>36</v>
      </c>
      <c r="R90" s="2" t="s">
        <v>265</v>
      </c>
      <c r="S90" s="2" t="s">
        <v>266</v>
      </c>
      <c r="T90" s="2" t="s">
        <v>39</v>
      </c>
      <c r="U90" s="2" t="s">
        <v>40</v>
      </c>
      <c r="V90" s="2" t="s">
        <v>259</v>
      </c>
      <c r="W90" s="3">
        <v>74</v>
      </c>
      <c r="X90" s="4"/>
      <c r="Y90" s="3">
        <v>1601003.53</v>
      </c>
      <c r="Z90" s="2" t="s">
        <v>38</v>
      </c>
      <c r="AA90" s="2" t="s">
        <v>259</v>
      </c>
    </row>
    <row r="91" spans="1:30" x14ac:dyDescent="0.25">
      <c r="A91" s="2" t="s">
        <v>27</v>
      </c>
      <c r="B91" s="2" t="s">
        <v>285</v>
      </c>
      <c r="C91" s="2" t="s">
        <v>28</v>
      </c>
      <c r="D91" s="2" t="s">
        <v>29</v>
      </c>
      <c r="E91" s="2" t="s">
        <v>30</v>
      </c>
      <c r="F91" s="2" t="s">
        <v>31</v>
      </c>
      <c r="G91" s="2" t="s">
        <v>32</v>
      </c>
      <c r="H91" s="2" t="s">
        <v>33</v>
      </c>
      <c r="I91" s="2" t="s">
        <v>34</v>
      </c>
      <c r="J91" s="3">
        <v>2776035.44</v>
      </c>
      <c r="K91" s="2" t="s">
        <v>35</v>
      </c>
      <c r="L91" s="3">
        <v>2776035.44</v>
      </c>
      <c r="M91" s="2" t="s">
        <v>35</v>
      </c>
      <c r="N91" s="3">
        <v>2782295.31</v>
      </c>
      <c r="O91" s="2" t="s">
        <v>36</v>
      </c>
      <c r="P91" s="3">
        <v>2782295.31</v>
      </c>
      <c r="Q91" s="2" t="s">
        <v>36</v>
      </c>
      <c r="R91" s="2" t="s">
        <v>267</v>
      </c>
      <c r="S91" s="2" t="s">
        <v>268</v>
      </c>
      <c r="T91" s="2" t="s">
        <v>269</v>
      </c>
      <c r="U91" s="2" t="s">
        <v>40</v>
      </c>
      <c r="V91" s="2" t="s">
        <v>259</v>
      </c>
      <c r="W91" s="3">
        <v>5328.69</v>
      </c>
      <c r="X91" s="4"/>
      <c r="Y91" s="3">
        <v>1600929.53</v>
      </c>
      <c r="Z91" s="2" t="s">
        <v>38</v>
      </c>
      <c r="AA91" s="2" t="s">
        <v>259</v>
      </c>
    </row>
    <row r="92" spans="1:30" x14ac:dyDescent="0.25">
      <c r="A92" s="2" t="s">
        <v>27</v>
      </c>
      <c r="B92" s="2" t="s">
        <v>285</v>
      </c>
      <c r="C92" s="2" t="s">
        <v>28</v>
      </c>
      <c r="D92" s="2" t="s">
        <v>29</v>
      </c>
      <c r="E92" s="2" t="s">
        <v>30</v>
      </c>
      <c r="F92" s="2" t="s">
        <v>31</v>
      </c>
      <c r="G92" s="2" t="s">
        <v>32</v>
      </c>
      <c r="H92" s="2" t="s">
        <v>33</v>
      </c>
      <c r="I92" s="2" t="s">
        <v>34</v>
      </c>
      <c r="J92" s="3">
        <v>2776035.44</v>
      </c>
      <c r="K92" s="2" t="s">
        <v>35</v>
      </c>
      <c r="L92" s="3">
        <v>2776035.44</v>
      </c>
      <c r="M92" s="2" t="s">
        <v>35</v>
      </c>
      <c r="N92" s="3">
        <v>2782295.31</v>
      </c>
      <c r="O92" s="2" t="s">
        <v>36</v>
      </c>
      <c r="P92" s="3">
        <v>2782295.31</v>
      </c>
      <c r="Q92" s="2" t="s">
        <v>36</v>
      </c>
      <c r="R92" s="2" t="s">
        <v>270</v>
      </c>
      <c r="S92" s="2" t="s">
        <v>271</v>
      </c>
      <c r="T92" s="2" t="s">
        <v>272</v>
      </c>
      <c r="U92" s="2" t="s">
        <v>37</v>
      </c>
      <c r="V92" s="2" t="s">
        <v>273</v>
      </c>
      <c r="W92" s="3">
        <v>13595</v>
      </c>
      <c r="X92" s="4"/>
      <c r="Y92" s="3">
        <v>1595600.84</v>
      </c>
      <c r="Z92" s="2" t="s">
        <v>38</v>
      </c>
      <c r="AA92" s="2" t="s">
        <v>273</v>
      </c>
    </row>
    <row r="93" spans="1:30" x14ac:dyDescent="0.25">
      <c r="A93" s="2" t="s">
        <v>27</v>
      </c>
      <c r="B93" s="2" t="s">
        <v>285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32</v>
      </c>
      <c r="H93" s="2" t="s">
        <v>33</v>
      </c>
      <c r="I93" s="2" t="s">
        <v>34</v>
      </c>
      <c r="J93" s="3">
        <v>2776035.44</v>
      </c>
      <c r="K93" s="2" t="s">
        <v>35</v>
      </c>
      <c r="L93" s="3">
        <v>2776035.44</v>
      </c>
      <c r="M93" s="2" t="s">
        <v>35</v>
      </c>
      <c r="N93" s="3">
        <v>2782295.31</v>
      </c>
      <c r="O93" s="2" t="s">
        <v>36</v>
      </c>
      <c r="P93" s="3">
        <v>2782295.31</v>
      </c>
      <c r="Q93" s="2" t="s">
        <v>36</v>
      </c>
      <c r="R93" s="2" t="s">
        <v>274</v>
      </c>
      <c r="S93" s="2" t="s">
        <v>275</v>
      </c>
      <c r="T93" s="2" t="s">
        <v>39</v>
      </c>
      <c r="U93" s="2" t="s">
        <v>40</v>
      </c>
      <c r="V93" s="2" t="s">
        <v>273</v>
      </c>
      <c r="W93" s="3">
        <v>10963.43</v>
      </c>
      <c r="X93" s="4"/>
      <c r="Y93" s="3">
        <v>1582005.84</v>
      </c>
      <c r="Z93" s="2" t="s">
        <v>38</v>
      </c>
      <c r="AA93" s="2" t="s">
        <v>273</v>
      </c>
    </row>
    <row r="94" spans="1:30" x14ac:dyDescent="0.25">
      <c r="A94" s="2" t="s">
        <v>27</v>
      </c>
      <c r="B94" s="2" t="s">
        <v>285</v>
      </c>
      <c r="C94" s="2" t="s">
        <v>28</v>
      </c>
      <c r="D94" s="2" t="s">
        <v>29</v>
      </c>
      <c r="E94" s="2" t="s">
        <v>30</v>
      </c>
      <c r="F94" s="2" t="s">
        <v>31</v>
      </c>
      <c r="G94" s="2" t="s">
        <v>32</v>
      </c>
      <c r="H94" s="2" t="s">
        <v>33</v>
      </c>
      <c r="I94" s="2" t="s">
        <v>34</v>
      </c>
      <c r="J94" s="3">
        <v>2776035.44</v>
      </c>
      <c r="K94" s="2" t="s">
        <v>35</v>
      </c>
      <c r="L94" s="3">
        <v>2776035.44</v>
      </c>
      <c r="M94" s="2" t="s">
        <v>35</v>
      </c>
      <c r="N94" s="3">
        <v>2782295.31</v>
      </c>
      <c r="O94" s="2" t="s">
        <v>36</v>
      </c>
      <c r="P94" s="3">
        <v>2782295.31</v>
      </c>
      <c r="Q94" s="2" t="s">
        <v>36</v>
      </c>
      <c r="R94" s="2" t="s">
        <v>276</v>
      </c>
      <c r="S94" s="2" t="s">
        <v>277</v>
      </c>
      <c r="T94" s="2" t="s">
        <v>39</v>
      </c>
      <c r="U94" s="2" t="s">
        <v>40</v>
      </c>
      <c r="V94" s="2" t="s">
        <v>273</v>
      </c>
      <c r="W94" s="3">
        <v>3324.34</v>
      </c>
      <c r="X94" s="4"/>
      <c r="Y94" s="3">
        <v>1571042.41</v>
      </c>
      <c r="Z94" s="2" t="s">
        <v>38</v>
      </c>
      <c r="AA94" s="2" t="s">
        <v>273</v>
      </c>
    </row>
    <row r="95" spans="1:30" x14ac:dyDescent="0.25">
      <c r="A95" s="2" t="s">
        <v>27</v>
      </c>
      <c r="B95" s="2" t="s">
        <v>285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32</v>
      </c>
      <c r="H95" s="2" t="s">
        <v>33</v>
      </c>
      <c r="I95" s="2" t="s">
        <v>34</v>
      </c>
      <c r="J95" s="3">
        <v>2776035.44</v>
      </c>
      <c r="K95" s="2" t="s">
        <v>35</v>
      </c>
      <c r="L95" s="3">
        <v>2776035.44</v>
      </c>
      <c r="M95" s="2" t="s">
        <v>35</v>
      </c>
      <c r="N95" s="3">
        <v>2782295.31</v>
      </c>
      <c r="O95" s="2" t="s">
        <v>36</v>
      </c>
      <c r="P95" s="3">
        <v>2782295.31</v>
      </c>
      <c r="Q95" s="2" t="s">
        <v>36</v>
      </c>
      <c r="R95" s="2" t="s">
        <v>278</v>
      </c>
      <c r="S95" s="2" t="s">
        <v>279</v>
      </c>
      <c r="T95" s="2" t="s">
        <v>280</v>
      </c>
      <c r="U95" s="2" t="s">
        <v>40</v>
      </c>
      <c r="V95" s="2" t="s">
        <v>273</v>
      </c>
      <c r="W95" s="4"/>
      <c r="X95" s="3">
        <v>-13.23</v>
      </c>
      <c r="Y95" s="3">
        <v>1567718.07</v>
      </c>
      <c r="Z95" s="2" t="s">
        <v>38</v>
      </c>
      <c r="AA95" s="2" t="s">
        <v>273</v>
      </c>
    </row>
    <row r="96" spans="1:30" ht="15.75" thickBot="1" x14ac:dyDescent="0.3">
      <c r="A96" s="2" t="s">
        <v>27</v>
      </c>
      <c r="B96" s="2" t="s">
        <v>285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32</v>
      </c>
      <c r="H96" s="2" t="s">
        <v>33</v>
      </c>
      <c r="I96" s="2" t="s">
        <v>34</v>
      </c>
      <c r="J96" s="3">
        <v>2776035.44</v>
      </c>
      <c r="K96" s="2" t="s">
        <v>35</v>
      </c>
      <c r="L96" s="3">
        <v>2776035.44</v>
      </c>
      <c r="M96" s="2" t="s">
        <v>35</v>
      </c>
      <c r="N96" s="3">
        <v>2782295.31</v>
      </c>
      <c r="O96" s="2" t="s">
        <v>36</v>
      </c>
      <c r="P96" s="3">
        <v>2782295.31</v>
      </c>
      <c r="Q96" s="2" t="s">
        <v>36</v>
      </c>
      <c r="R96" s="2" t="s">
        <v>281</v>
      </c>
      <c r="S96" s="2" t="s">
        <v>282</v>
      </c>
      <c r="T96" s="2" t="s">
        <v>283</v>
      </c>
      <c r="U96" s="2" t="s">
        <v>37</v>
      </c>
      <c r="V96" s="2" t="s">
        <v>284</v>
      </c>
      <c r="W96" s="3">
        <v>1355.08</v>
      </c>
      <c r="X96" s="4"/>
      <c r="Y96" s="6">
        <v>1567731.3</v>
      </c>
      <c r="Z96" s="2" t="s">
        <v>38</v>
      </c>
      <c r="AA96" s="2" t="s">
        <v>284</v>
      </c>
      <c r="AC96" s="5">
        <f>Y96-W96</f>
        <v>1566376.22</v>
      </c>
      <c r="AD96" s="8">
        <v>2776035.44</v>
      </c>
    </row>
    <row r="97" spans="25:25" ht="15.75" thickBot="1" x14ac:dyDescent="0.3">
      <c r="Y97" s="7">
        <f>AD96+W96</f>
        <v>2777390.52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Gagandeep Chadha</dc:creator>
  <cp:lastModifiedBy>Dinesh Soni</cp:lastModifiedBy>
  <dcterms:created xsi:type="dcterms:W3CDTF">2025-08-21T15:58:18Z</dcterms:created>
  <dcterms:modified xsi:type="dcterms:W3CDTF">2026-02-04T11:15:13Z</dcterms:modified>
</cp:coreProperties>
</file>